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chanisms" sheetId="1" state="visible" r:id="rId3"/>
    <sheet name="Field dictionary" sheetId="2" state="visible" r:id="rId4"/>
    <sheet name="QC summary" sheetId="3" state="visible" r:id="rId5"/>
  </sheets>
  <definedNames>
    <definedName function="false" hidden="true" localSheetId="0" name="_xlnm._FilterDatabase" vbProcedure="false">Mechanisms!$A$1:$AG$191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<sst xmlns="http://schemas.openxmlformats.org/spreadsheetml/2006/main" count="5903" uniqueCount="2384">
  <si>
    <t xml:space="preserve">program_name</t>
  </si>
  <si>
    <t xml:space="preserve">funder</t>
  </si>
  <si>
    <t xml:space="preserve">funder_category</t>
  </si>
  <si>
    <t xml:space="preserve">jurisdiction</t>
  </si>
  <si>
    <t xml:space="preserve">career_stage</t>
  </si>
  <si>
    <t xml:space="preserve">mechanism_type</t>
  </si>
  <si>
    <t xml:space="preserve">purpose</t>
  </si>
  <si>
    <t xml:space="preserve">domain</t>
  </si>
  <si>
    <t xml:space="preserve">stated_purpose</t>
  </si>
  <si>
    <t xml:space="preserve">design_notes</t>
  </si>
  <si>
    <t xml:space="preserve">research_stage</t>
  </si>
  <si>
    <t xml:space="preserve">typical_award_size</t>
  </si>
  <si>
    <t xml:space="preserve">typical_duration</t>
  </si>
  <si>
    <t xml:space="preserve">citizenship_residency</t>
  </si>
  <si>
    <t xml:space="preserve">years_since_degree_max</t>
  </si>
  <si>
    <t xml:space="preserve">eligibility_window</t>
  </si>
  <si>
    <t xml:space="preserve">identity_targeting</t>
  </si>
  <si>
    <t xml:space="preserve">identity_gate_type</t>
  </si>
  <si>
    <t xml:space="preserve">topic_restricted</t>
  </si>
  <si>
    <t xml:space="preserve">specific_topic</t>
  </si>
  <si>
    <t xml:space="preserve">submission_path</t>
  </si>
  <si>
    <t xml:space="preserve">prior_funding_exclusion</t>
  </si>
  <si>
    <t xml:space="preserve">institution_type_restriction</t>
  </si>
  <si>
    <t xml:space="preserve">eligibility_notes</t>
  </si>
  <si>
    <t xml:space="preserve">application_cadence</t>
  </si>
  <si>
    <t xml:space="preserve">selectivity</t>
  </si>
  <si>
    <t xml:space="preserve">review_criteria_official</t>
  </si>
  <si>
    <t xml:space="preserve">review_signals_informal</t>
  </si>
  <si>
    <t xml:space="preserve">coverage_type</t>
  </si>
  <si>
    <t xml:space="preserve">source_url</t>
  </si>
  <si>
    <t xml:space="preserve">confidence</t>
  </si>
  <si>
    <t xml:space="preserve">checked_date</t>
  </si>
  <si>
    <t xml:space="preserve">notes</t>
  </si>
  <si>
    <t xml:space="preserve">ARPA-E OPEN</t>
  </si>
  <si>
    <t xml:space="preserve">ARPA-E</t>
  </si>
  <si>
    <t xml:space="preserve">federal_research</t>
  </si>
  <si>
    <t xml:space="preserve">United States</t>
  </si>
  <si>
    <t xml:space="preserve">no_stage_restriction</t>
  </si>
  <si>
    <t xml:space="preserve">cooperative_agreement</t>
  </si>
  <si>
    <t xml:space="preserve">research_project, commercialization</t>
  </si>
  <si>
    <t xml:space="preserve">engineering, physical_sciences</t>
  </si>
  <si>
    <t xml:space="preserve">Periodic open solicitation funding transformational, high-impact energy technologies across any topic area that do not fit existing focused ARPA-E programs.</t>
  </si>
  <si>
    <t xml:space="preserve">Runs irregularly (OPEN 2018, OPEN 2021, OPEN 2024 — roughly every ~3 years). Primary instrument is a cooperative agreement (also Technology Investment Agreements/OTs and, less often, grants). Eligibility/instruments verified from ARPA-E FOA Provisions (arpa-e.energy.gov); cadence and per-award ranges marked est. because the OPEN landing page is JS-rendered.</t>
  </si>
  <si>
    <t xml:space="preserve">translational_productdev</t>
  </si>
  <si>
    <t xml:space="preserve">varies; roughly ~$0.5–10 million per project (avg ~$1–4M est.)</t>
  </si>
  <si>
    <t xml:space="preserve">typically ~2–3 years</t>
  </si>
  <si>
    <t xml:space="preserve">host_country_institution_required</t>
  </si>
  <si>
    <t xml:space="preserve">no career-stage restriction; US-incorporated lead entity required</t>
  </si>
  <si>
    <t xml:space="preserve">none</t>
  </si>
  <si>
    <t xml:space="preserve">n/a</t>
  </si>
  <si>
    <t xml:space="preserve">TRUE</t>
  </si>
  <si>
    <t xml:space="preserve">transformational energy technologies (any energy-related topic)</t>
  </si>
  <si>
    <t xml:space="preserve">individual_direct</t>
  </si>
  <si>
    <t xml:space="preserve">none.</t>
  </si>
  <si>
    <t xml:space="preserve">us_institution</t>
  </si>
  <si>
    <t xml:space="preserve">Eligible leads: US universities, nonprofits, and US-incorporated for-profits (small and large); DOE/FFRDC national labs and foreign entities may participate only as team members, not standalone leads. US citizens/PRs may apply as individuals. Concept paper then full application.</t>
  </si>
  <si>
    <t xml:space="preserve">irregular</t>
  </si>
  <si>
    <t xml:space="preserve">unspecified</t>
  </si>
  <si>
    <t xml:space="preserve">Merit review emphasizing transformative potential/impact on ARPA-E mission metrics, scientific-technical merit and feasibility, and a credible pathway to real-world deployment; team capability.</t>
  </si>
  <si>
    <t xml:space="preserve">Heilmeier-Catechism questions are the de facto framing reviewers expect; community knowledge, treat as low-confidence.</t>
  </si>
  <si>
    <t xml:space="preserve">enumerated</t>
  </si>
  <si>
    <t xml:space="preserve">https://arpa-e.energy.gov/programs-and-initiatives/OPEN-program</t>
  </si>
  <si>
    <t xml:space="preserve">medium</t>
  </si>
  <si>
    <t xml:space="preserve">2026-07-18</t>
  </si>
  <si>
    <t xml:space="preserve">ARPA-E is within DOE; classified federal_research per this sweep's scope (arguably mission_applied).</t>
  </si>
  <si>
    <t xml:space="preserve">IGNIITE (Inspiring Generations of New Innovators to Impact Technologies in Energy)</t>
  </si>
  <si>
    <t xml:space="preserve">graduate_predoc, postdoc, early_career_faculty</t>
  </si>
  <si>
    <t xml:space="preserve">seed_pilot</t>
  </si>
  <si>
    <t xml:space="preserve">research_project, commercialization, career_development</t>
  </si>
  <si>
    <t xml:space="preserve">Empowers early-career scientists and engineers to convert disruptive ideas into impactful energy technologies through funding, network-building, and mentorship.</t>
  </si>
  <si>
    <t xml:space="preserve">Distinct early-career, individual-innovator seed vehicle (mechanism_type=seed_pilot; research_stage=feasibility_pilot) run annually (IGNIITE 2024/2025/2026). IGNIITE 2026 landing page confirmed live. Per-award size and duration are estimated from the cohort announcement. A separate 2-year ARPA-E Fellows Program (recent-PhD technical staff at ARPA-E HQ) also exists but is noted rather than enumerated.</t>
  </si>
  <si>
    <t xml:space="preserve">feasibility_pilot</t>
  </si>
  <si>
    <t xml:space="preserve">up to ~$500,000 per innovator (est.; ~$11.5M across 23 awardees in IGNIITE 2024)</t>
  </si>
  <si>
    <t xml:space="preserve">~18–24 months (est.)</t>
  </si>
  <si>
    <t xml:space="preserve">citizen_national_pr_required</t>
  </si>
  <si>
    <t xml:space="preserve">early-career individuals (individual-innovator awards)</t>
  </si>
  <si>
    <t xml:space="preserve">transformational energy technologies</t>
  </si>
  <si>
    <t xml:space="preserve">designed for early-career innovators without a prior record of leading ARPA-E awards (est.; confirm per solicitation).</t>
  </si>
  <si>
    <t xml:space="preserve">Individual-capacity awards; individual applicants must be US citizens or permanent residents (per ARPA-E individual-applicant rules). Targets early-career innovators new to leading ARPA-E-style projects.</t>
  </si>
  <si>
    <t xml:space="preserve">annual</t>
  </si>
  <si>
    <t xml:space="preserve">~23 awardees (2024 cohort)</t>
  </si>
  <si>
    <t xml:space="preserve">Merit review on transformative energy-impact potential, technical merit/feasibility of the concept, and the innovator's promise (ARPA-E Heilmeier-style framing).</t>
  </si>
  <si>
    <t xml:space="preserve">https://arpa-e.energy.gov/programs-and-initiatives/view-all-programs/igniite-2026</t>
  </si>
  <si>
    <t xml:space="preserve">Confirmed via ARPA-E announcement of $11.5M for 23 early-career innovators (IGNIITE 2024). IGNIITE 2026 program page verified to exist this pass.</t>
  </si>
  <si>
    <t xml:space="preserve">ARPA-H mission programs (cooperative agreements / other transactions)</t>
  </si>
  <si>
    <t xml:space="preserve">ARPA-H</t>
  </si>
  <si>
    <t xml:space="preserve">biomedical_health</t>
  </si>
  <si>
    <t xml:space="preserve">Advanced Research Projects Agency for Health builds time-limited, milestone-driven programs and initiatives via Mission Offices to accelerate breakthrough biomedical and health solutions.</t>
  </si>
  <si>
    <t xml:space="preserve">coverage_type=guidance: ARPA-H funds via a rotating portfolio of Program-Manager-conceived programs, not a fixed standing solicitation. Uses cooperative agreements, Other Transaction agreements (OTs), grants, contracts, and procurement; mechanism_type set to cooperative_agreement as the representative instrument with OTs noted. translational_productdev reflects the deployment-oriented mandate. Mission Offices / solicitations / Open Funding Opportunities confirmed current on the funder page.</t>
  </si>
  <si>
    <t xml:space="preserve">varies by program; commonly multi-million-dollar, milestone-based awards (specific figures per solicitation)</t>
  </si>
  <si>
    <t xml:space="preserve">varies (typically ~1–5 years, milestone-gated)</t>
  </si>
  <si>
    <t xml:space="preserve">no career-stage restriction; performers include universities, companies (incl. small business), nonprofits, and teams</t>
  </si>
  <si>
    <t xml:space="preserve">biomedical and health breakthroughs (Mission Office program-specific topics)</t>
  </si>
  <si>
    <t xml:space="preserve">none (organization-based, not career-stage-based).</t>
  </si>
  <si>
    <t xml:space="preserve">Programs solicited by Program Managers within Mission Offices; broad solicitations (Innovative Solutions Openings/ISOs) accept abstracts on a rolling basis, plus program-specific solicitations. Dedicated small-business pathways exist.</t>
  </si>
  <si>
    <t xml:space="preserve">rolling</t>
  </si>
  <si>
    <t xml:space="preserve">Program-specific merit review of scientific/technical approach, potential health impact, feasibility, and team/management capability, defined in each ISO/solicitation.</t>
  </si>
  <si>
    <t xml:space="preserve">ARPA-style solvability/impact framing (does it solve a hard problem, what's the deployment path) is the de facto expectation; community knowledge, treat as low-confidence.</t>
  </si>
  <si>
    <t xml:space="preserve">guidance</t>
  </si>
  <si>
    <t xml:space="preserve">https://arpa-h.gov/research-and-funding</t>
  </si>
  <si>
    <t xml:space="preserve">Solicitation vehicles: Mission Office programs, Initiatives &amp; Sprints, and ISOs (Innovative Solutions Openings). ARPANET-H is the ecosystem/network.</t>
  </si>
  <si>
    <t xml:space="preserve">Early Career Faculty (ECF) — Space Technology Research Grants (STRG)</t>
  </si>
  <si>
    <t xml:space="preserve">NASA</t>
  </si>
  <si>
    <t xml:space="preserve">early_career_faculty</t>
  </si>
  <si>
    <t xml:space="preserve">research_grant</t>
  </si>
  <si>
    <t xml:space="preserve">research_project, career_development</t>
  </si>
  <si>
    <t xml:space="preserve">Supports outstanding untenured early-career faculty to pursue high-priority, low-TRL space-technology research; part of the Space Technology Research Grants (STRG) program within NASA's Space Technology Mission Directorate (STMD).</t>
  </si>
  <si>
    <t xml:space="preserve">coverage_type=guidance because this represents NASA's family of early-career-faculty research lines (STMD ECF plus discipline New Investigator Program lines) rather than a single perpetual solicitation; topics rotate annually. ECF confirmed as a funded STRG activity on NASA's own STRG page. ECF25-specific figures (&gt;=$750K floor, ~6 awards) come from the most recent solicitation on NSPIRES. research_stage=exploratory_highrisk reflects low-TRL space-tech focus.</t>
  </si>
  <si>
    <t xml:space="preserve">exploratory_highrisk</t>
  </si>
  <si>
    <t xml:space="preserve">&gt;=$750,000 total (ECF25 floor) over the award period (~$250K/yr over ~3 yr)</t>
  </si>
  <si>
    <t xml:space="preserve">~3 years</t>
  </si>
  <si>
    <t xml:space="preserve">untenured, tenure-track assistant professor at the sponsoring US university at time of award</t>
  </si>
  <si>
    <t xml:space="preserve">space technology (annual STMD-defined topic areas; e.g., entry diagnostics, autonomous spacecraft GN&amp;C)</t>
  </si>
  <si>
    <t xml:space="preserve">gated by untenured-assistant-professor status rather than years since degree; one proposal per PI per solicitation.</t>
  </si>
  <si>
    <t xml:space="preserve">PI must be an untenured tenure-track assistant professor and a US citizen or lawful permanent resident at award; only accredited US universities may submit; one proposal per PI, no co-investigators (collaborators allowed, excluding NASA employees).</t>
  </si>
  <si>
    <t xml:space="preserve">~6 awards per solicitation (ECF25)</t>
  </si>
  <si>
    <t xml:space="preserve">NASA merit review: intrinsic scientific/technical merit of the proposed technology research; relevance to NASA STMD technology objectives/topic areas; and cost reasonableness/realism.</t>
  </si>
  <si>
    <t xml:space="preserve">https://www.nasa.gov/about-strg/</t>
  </si>
  <si>
    <t xml:space="preserve">Audit: replaced the simpler.grants.gov (grants.gov aggregator) source_url with NASA's own STRG program page (nasa.gov/about-strg). Distinct from tenure-agnostic ROSES research grants; targets untenured assistant professors specifically.</t>
  </si>
  <si>
    <t xml:space="preserve">FINESST — Future Investigators in NASA Earth and Space Science and Technology</t>
  </si>
  <si>
    <t xml:space="preserve">graduate_predoc</t>
  </si>
  <si>
    <t xml:space="preserve">fellowship</t>
  </si>
  <si>
    <t xml:space="preserve">salary_stipend, training, research_project</t>
  </si>
  <si>
    <t xml:space="preserve">physical_sciences, life_sciences, engineering</t>
  </si>
  <si>
    <t xml:space="preserve">Awards graduate student-designed research projects that advance the Science Mission Directorate's science, technology, and exploration goals; the graduate student (Future Investigator) has primary initiative to define the project.</t>
  </si>
  <si>
    <t xml:space="preserve">Training-grant-style fellowship: award goes to the US institution; the graduate student is the Future Investigator and primary author while the advisor is PI-of-record. Runs annually across SMD divisions (Earth Science, Heliophysics, Planetary Science, Astrophysics, Biological &amp; Physical Sciences) via the ROSES solicitation. topic_restricted kept false because eligibility spans NASA's broad science portfolio (mission-relevance filter, not a narrow topic gate).</t>
  </si>
  <si>
    <t xml:space="preserve">career_training</t>
  </si>
  <si>
    <t xml:space="preserve">up to $50,000 per year (up to ~$150,000 total)</t>
  </si>
  <si>
    <t xml:space="preserve">up to 3 years</t>
  </si>
  <si>
    <t xml:space="preserve">graduate student (Future Investigator) enrolled at a US institution with sufficient time remaining in the degree</t>
  </si>
  <si>
    <t xml:space="preserve">FALSE</t>
  </si>
  <si>
    <t xml:space="preserve">a student may hold only one FINESST/NESSF award tied to a single degree pursuit; prior recipients for the same degree are ineligible (per FINESST NOFO).</t>
  </si>
  <si>
    <t xml:space="preserve">Proposal submitted by an accredited US university (or other eligible org) on behalf of the graduate-student Future Investigator, who must be the primary author; a faculty advisor/mentor serves as PI-of-record. No US-citizenship requirement (unlike NSF GRFP).</t>
  </si>
  <si>
    <t xml:space="preserve">NASA merit review: intrinsic scientific/technical merit of the proposed research and the Future Investigator's potential; relevance to NASA/SMD science objectives; and reasonableness of the requested budget.</t>
  </si>
  <si>
    <t xml:space="preserve">https://science.nasa.gov/researchers/solicitations/roses-2022/amendment-70-f5-finesst-graduate-student-research-proposals-final-text-and-proposal-due-date/</t>
  </si>
  <si>
    <t xml:space="preserve">Successor to the NASA Earth and Space Science Fellowship (NESSF); solicited annually within ROSES. Audit: downgraded high-&gt;medium — source_url is a 2022 ROSES F.5 amendment (NASA's own domain, so not an aggregator) and the clean /researchers/finesst page 404'd this pass; $50K/yr, 3-yr terms are stable and reissued annually under the current ROSES.</t>
  </si>
  <si>
    <t xml:space="preserve">NASA Postdoctoral Program (NPP) — Postdoctoral Fellowship</t>
  </si>
  <si>
    <t xml:space="preserve">postdoc</t>
  </si>
  <si>
    <t xml:space="preserve">Offers competitive fellowships to early-career scientists to conduct independent research in collaboration with a NASA advisor at a NASA center or affiliated institution.</t>
  </si>
  <si>
    <t xml:space="preserve">Administered for NASA by ORAU (official program site). Three review cycles per year (Mar 1, Jul 1, Nov 1) — cadence marked annual (recurring) with cycles noted. Split from the Senior Fellowship variant because career stage and stipend determination differ (filterable).</t>
  </si>
  <si>
    <t xml:space="preserve">stipend from $70,000/year (locality/field supplements possible) + $10,000/year travel; NASA covers ~85% of health-insurance premium</t>
  </si>
  <si>
    <t xml:space="preserve">1-year appointments, renewable up to 3 years</t>
  </si>
  <si>
    <t xml:space="preserve">open_any_nationality</t>
  </si>
  <si>
    <t xml:space="preserve">held a doctoral degree for less than 5 years at appointment start</t>
  </si>
  <si>
    <t xml:space="preserve">yes: cannot begin a new NPP appointment within 5 years of concluding a prior NPP fellowship.</t>
  </si>
  <si>
    <t xml:space="preserve">US citizens, lawful permanent residents, and foreign nationals eligible for J-1 Exchange Visitor status (J-1 must be obtained before starting if selected); also LPR/asylee/refugee applicants with valid EAD and pending I-485/I-589. Must relocate to and reside at the NASA center/advisor location. Stipend ($70k start), $10k travel, and ~85% health-premium coverage confirmed on the NPP benefits page.</t>
  </si>
  <si>
    <t xml:space="preserve">Discipline-panel merit review: quality/originality and feasibility of the proposed research, applicant qualifications, and the match with the NASA advisor and center.</t>
  </si>
  <si>
    <t xml:space="preserve">https://npp.orau.org/applicants/eligibility.html</t>
  </si>
  <si>
    <t xml:space="preserve">high</t>
  </si>
  <si>
    <t xml:space="preserve">Three fixed review cycles per year. Full-time; no concurrent outside employment permitted. Audit: $70k stipend, $10k travel, 85% health, and &lt;5yr window re-confirmed on funder page.</t>
  </si>
  <si>
    <t xml:space="preserve">NASA Postdoctoral Program (NPP) — Senior Fellowship</t>
  </si>
  <si>
    <t xml:space="preserve">midcareer, senior_established</t>
  </si>
  <si>
    <t xml:space="preserve">salary_stipend, research_project</t>
  </si>
  <si>
    <t xml:space="preserve">Provides fellowships for experienced researchers (five or more years past the doctorate) to conduct independent research with a NASA advisor.</t>
  </si>
  <si>
    <t xml:space="preserve">Split from the Postdoctoral Fellowship variant on career stage (5+ years since PhD) and stipend basis. Same program, application system (ORAU), and three annual cycles.</t>
  </si>
  <si>
    <t xml:space="preserve">stipend set by location, years of experience beyond the doctorate, and career achievements (above the postdoctoral base) + $10,000/year travel</t>
  </si>
  <si>
    <t xml:space="preserve">held a doctoral degree for 5 or more years</t>
  </si>
  <si>
    <t xml:space="preserve">Same citizenship/residency and residency-relocation rules as the postdoctoral tier (US citizens, LPRs, J-1-eligible foreign nationals). Distinguished from the postdoctoral tier only by 5+ years since the doctorate and a higher, experience-based stipend. Individually-determined senior stipend confirmed on the NPP benefits page.</t>
  </si>
  <si>
    <t xml:space="preserve">A separate NPP Management Fellowship track (requires &gt;=1 year in a research fellowship) also exists; not enumerated here.</t>
  </si>
  <si>
    <t xml:space="preserve">NIST/NRC Postdoctoral Research Associateship Program</t>
  </si>
  <si>
    <t xml:space="preserve">National Institute of Standards and Technology (NIST)</t>
  </si>
  <si>
    <t xml:space="preserve">physical_sciences, engineering, computing_math</t>
  </si>
  <si>
    <t xml:space="preserve">Provides two-year appointments for recent doctoral recipients to conduct independent research in association with NIST staff, administered through the National Academies' NRC Research Associateship Programs.</t>
  </si>
  <si>
    <t xml:space="preserve">Individual postdoctoral fellowship hosted at NIST; adviser must be secured pre-application. Two fixed application periods per year (Feb 1 and Aug 1). US-citizen-only gate is stricter than most (no PR); mapped to citizen_national_pr_required (nearest enum) with the citizen-only restriction flagged in eligibility_notes. Citizenship, PhD&lt;5yr, GS-11 stipend, 2-yr duration, and Feb/Aug cycles all re-confirmed on the funder page.</t>
  </si>
  <si>
    <t xml:space="preserve">stipend equivalent to GS-11 step 1 for the Washington, DC metro area (~$72,000+ est., locality-adjusted)</t>
  </si>
  <si>
    <t xml:space="preserve">up to 2 years</t>
  </si>
  <si>
    <t xml:space="preserve">held the PhD (STEM discipline) for less than 5 years</t>
  </si>
  <si>
    <t xml:space="preserve">must have held the PhD less than 5 years and be a US citizen; no separate prior-award disqualifier stated.</t>
  </si>
  <si>
    <t xml:space="preserve">Must be a US citizen — permanent residents are NOT eligible for this program (confirmed on the NIST page). PhD held less than 5 years in a science/engineering/math discipline. Applicants must identify and contact a prospective NIST adviser before applying; Selective Service registration required where applicable.</t>
  </si>
  <si>
    <t xml:space="preserve">National Academies' NRC panel review: scientific/technical merit of the proposed research and the applicant's qualifications and promise, plus the adviser/research-opportunity match.</t>
  </si>
  <si>
    <t xml:space="preserve">https://www.nist.gov/iaao/academic-affairs-office/nist-nrc-postdoctoral-research-associateships-program</t>
  </si>
  <si>
    <t xml:space="preserve">Disciplines: chemistry, physics, materials science, math, computer science, engineering. Two review cycles per year.</t>
  </si>
  <si>
    <t xml:space="preserve">Professional Research Experience Program (PREP)</t>
  </si>
  <si>
    <t xml:space="preserve">undergraduate, graduate_predoc, postdoc</t>
  </si>
  <si>
    <t xml:space="preserve">training_grant</t>
  </si>
  <si>
    <t xml:space="preserve">salary_stipend, training</t>
  </si>
  <si>
    <t xml:space="preserve">Provides hands-on research experiences at NIST for students, recent graduates, postdocs, and faculty, strengthening the STEM workforce and NIST's measurement-science mission.</t>
  </si>
  <si>
    <t xml:space="preserve">PREP is structured as 5-year cooperative agreements between NIST and partner universities; individuals are hired into research-associate appointments via posted vacancies (submission_path=other; institution_type=other = PREP partner universities only). mechanism_type=training_grant captures the workforce-development appointment at the individual level. Multi-stage career eligibility.</t>
  </si>
  <si>
    <t xml:space="preserve">stipend/salary varies by level (undergraduate through postdoctoral/faculty); specific amounts unspecified on program page</t>
  </si>
  <si>
    <t xml:space="preserve">varies by appointment (within the 5-year institutional cooperative agreement)</t>
  </si>
  <si>
    <t xml:space="preserve">undergraduate, graduate, recent graduate, postdoctoral, senior researcher, or faculty affiliated with a PREP partner university</t>
  </si>
  <si>
    <t xml:space="preserve">other</t>
  </si>
  <si>
    <t xml:space="preserve">none stated.</t>
  </si>
  <si>
    <t xml:space="preserve">Open to US citizens and foreign nationals with appropriate visa to work at NIST. Applicants apply to advertised vacancies through PREP partner/associate universities (e.g., Boulder CO, Gaithersburg MD, Charleston SC hubs).</t>
  </si>
  <si>
    <t xml:space="preserve">Selection by NIST research units against posted position/vacancy requirements (research fit, qualifications); managed through partner-university cooperative agreements.</t>
  </si>
  <si>
    <t xml:space="preserve">https://www.nist.gov/iaao/academic-affairs-office/professional-research-experience-program</t>
  </si>
  <si>
    <t xml:space="preserve">Not a nationally open individual competition — access is via affiliated PREP universities' vacancy postings.</t>
  </si>
  <si>
    <t xml:space="preserve">Summer Undergraduate Research Fellowship (SURF)</t>
  </si>
  <si>
    <t xml:space="preserve">undergraduate</t>
  </si>
  <si>
    <t xml:space="preserve">Provides undergraduate students a paid summer research experience working alongside NIST scientists and engineers.</t>
  </si>
  <si>
    <t xml:space="preserve">Individual undergraduate summer fellowship; applications submitted through USAJobs. 2026 stipend figures ($710/wk = $7,810; up to $4,500 housing; up to $500 travel) re-confirmed on the funder page; adjusts yearly.</t>
  </si>
  <si>
    <t xml:space="preserve">$7,810 for the 11-week summer stipend ($710/week) + up to $4,500 housing assistance + up to $500 travel (2026)</t>
  </si>
  <si>
    <t xml:space="preserve">9–11 weeks (summer)</t>
  </si>
  <si>
    <t xml:space="preserve">full-time undergraduate at an accredited US 2- or 4-year college (first-years through graduating seniors); age 18+</t>
  </si>
  <si>
    <t xml:space="preserve">Must be a US citizen or permanent resident (with proof). Six NIST laboratories participate. Apply via USAJobs. 2026 stipend/housing/travel figures and citizenship confirmed on nist.gov/surf.</t>
  </si>
  <si>
    <t xml:space="preserve">Selection by NIST laboratories on academic record, statement of interest, references, and fit with available research projects.</t>
  </si>
  <si>
    <t xml:space="preserve">https://www.nist.gov/surf</t>
  </si>
  <si>
    <t xml:space="preserve">Participating labs: Communications Technology, Engineering, Information Technology, Material Measurement, Physical Measurement, plus NIST Center for Neutron Research.</t>
  </si>
  <si>
    <t xml:space="preserve">Fogarty Emerging Global Leader Award (K43)</t>
  </si>
  <si>
    <t xml:space="preserve">National Institutes of Health (NIH)</t>
  </si>
  <si>
    <t xml:space="preserve">postdoc, early_career_faculty</t>
  </si>
  <si>
    <t xml:space="preserve">career_development_award</t>
  </si>
  <si>
    <t xml:space="preserve">career_development, salary_stipend, research_project</t>
  </si>
  <si>
    <t xml:space="preserve">Provide mentored research career development to a junior-faculty research scientist who is a citizen of, and committed to research at, an institution in a low- or middle-income country (LMIC).</t>
  </si>
  <si>
    <t xml:space="preserve">Federal U.S. funder (NIH/Fogarty) but the awardee institution is a foreign LMIC organization — hence host_country_institution_required and institution_type 'other'.</t>
  </si>
  <si>
    <t xml:space="preserve">Salary/research-development support scaled to LMIC context (varies) (est.)</t>
  </si>
  <si>
    <t xml:space="preserve">Up to 5 years</t>
  </si>
  <si>
    <t xml:space="preserve">Applicant is an LMIC citizen with a master's/doctoral degree, holds a junior-faculty appointment, and is employed by an eligible LMIC academic/research institution (the applicant organization is a foreign LMIC institution). No U.S. citizenship requirement.</t>
  </si>
  <si>
    <t xml:space="preserve">Global-health research relevant to low- and middle-income countries (Fogarty International Center)</t>
  </si>
  <si>
    <t xml:space="preserve">yes (mentored career-development stage): for early-career scientists not yet holding a major independent research award; applicant must need additional mentored research experience. Specific disqualifiers per the current Fogarty K43 NOFO.</t>
  </si>
  <si>
    <t xml:space="preserve">Standing Fogarty program; specific parent NOFOs are periodically reissued (between-cycle status can vary).</t>
  </si>
  <si>
    <t xml:space="preserve">Mentored-K criteria adapted for global settings (traditional K structure): Candidate; Career Development Plan; Research Plan; Mentor(s)/Collaborators; Environment &amp; Institutional Commitment (LMIC institution).</t>
  </si>
  <si>
    <t xml:space="preserve">https://grants.nih.gov/funding/activity-codes/K43</t>
  </si>
  <si>
    <t xml:space="preserve">NCI Outstanding Investigator Award (R35 OIA)</t>
  </si>
  <si>
    <t xml:space="preserve">research_project</t>
  </si>
  <si>
    <t xml:space="preserve">Provide extended, stable funding to accomplished cancer researchers with outstanding records, enabling ambitious, flexible, long-horizon programs of cancer research.</t>
  </si>
  <si>
    <t xml:space="preserve">hypothesis_driven_mature</t>
  </si>
  <si>
    <t xml:space="preserve">Up to $600,000 direct costs/yr</t>
  </si>
  <si>
    <t xml:space="preserve">7 years</t>
  </si>
  <si>
    <t xml:space="preserve">For established investigators with an outstanding record of cancer-research productivity and substantial current NCI research funding as PD/PI; not for early-career investigators.</t>
  </si>
  <si>
    <t xml:space="preserve">Cancer research (NCI mission)</t>
  </si>
  <si>
    <t xml:space="preserve">yes (inverted): requires a strong record of substantial, current NCI/NIH research support as PD/PI; intended to consolidate/replace existing project grants with one stable award. Not open to those without an accomplished independently funded track record.</t>
  </si>
  <si>
    <t xml:space="preserve">NCI encourages nominations across career stages including women and underrepresented groups, but the current cancer.gov page frames this as encouragement, NOT an eligibility gate or scoring preference (post-SFFA-consistent); hence identity_gate_type n/a.</t>
  </si>
  <si>
    <t xml:space="preserve">Highly selective (est.)</t>
  </si>
  <si>
    <t xml:space="preserve">NIH simplified 3-factor framework focused on the investigator's overall program, track record, and transformative potential (Importance; Rigor &amp; Feasibility; Expertise &amp; Resources).</t>
  </si>
  <si>
    <t xml:space="preserve">https://www.cancer.gov/grants-training/grants-funding/funding-opportunities/oia</t>
  </si>
  <si>
    <t xml:space="preserve">NIGMS Maximizing Investigators' Research Award (MIRA, R35)</t>
  </si>
  <si>
    <t xml:space="preserve">early_career_faculty, midcareer, senior_established</t>
  </si>
  <si>
    <t xml:space="preserve">biomedical_health, life_sciences</t>
  </si>
  <si>
    <t xml:space="preserve">Provide a single, consolidated, stable grant supporting the full program of research in an investigator's lab within the NIGMS mission, increasing flexibility and distributing funding more broadly.</t>
  </si>
  <si>
    <t xml:space="preserve">ESI ~$250,000; New Investigator ~$275,000; Established up to $750,000 direct costs/yr (investigators with ≥$400k NIGMS funding typically ~12% below historical) (est.)</t>
  </si>
  <si>
    <t xml:space="preserve">5 years</t>
  </si>
  <si>
    <t xml:space="preserve">Separate NOFOs: Established/New Investigators (PAR-26-121) and Early Stage Investigators (PAR-27-032). EI/NI generally need ≥1 NIGMS single-PI R01-equivalent (R01/R37/DP1/DP2/SC1) or current MIRA; ESI variant open without prior NIGMS support (ESI = within 10 yrs of terminal degree).</t>
  </si>
  <si>
    <t xml:space="preserve">NIGMS basic-biomedical mission (no disease-specific focus)</t>
  </si>
  <si>
    <t xml:space="preserve">yes (mutually exclusive with other NIGMS support): all other NIGMS research grants are terminated upon MIRA issuance; may not have a MIRA plus another NIGMS RPG (R01/R15/R21/R37) pending simultaneously; PI must devote ≥45% of total research effort to the MIRA.</t>
  </si>
  <si>
    <t xml:space="preserve">5-year single-PI award; renewable. ESI/New-Investigator entry point makes it a de facto first independent award for many NIGMS-funded labs. NOFO numbers PAR-26-121 / PAR-27-032 confirmed on NIGMS MIRA page (updated 2026-07-24).</t>
  </si>
  <si>
    <t xml:space="preserve">NIH simplified 3-factor framework applied at the level of the investigator's overall research program (Importance; Rigor &amp; Feasibility; Expertise &amp; Resources), with emphasis on track record and potential.</t>
  </si>
  <si>
    <t xml:space="preserve">https://www.nigms.nih.gov/Research/mechanisms/MIRA/Pages/default</t>
  </si>
  <si>
    <t xml:space="preserve">NIH Center &amp; Program Project Grants (P01 / P30 / P50)</t>
  </si>
  <si>
    <t xml:space="preserve">research_project, equipment</t>
  </si>
  <si>
    <t xml:space="preserve">Support multi-component, thematically integrated research: P01 program projects (multiple interrelated projects + shared cores), P50 specialized/disease centers (research + cores), and P30 center core grants (shared resources/cores supporting a base of NIH-funded investigators).</t>
  </si>
  <si>
    <t xml:space="preserve">P30 (center core) is infrastructure_resource in intent; P01/P50 are coordinated multi-project research. Collapsed into one center/program-project row to keep the mechanism catalog within scope, variants noted.</t>
  </si>
  <si>
    <t xml:space="preserve">coordinated_network</t>
  </si>
  <si>
    <t xml:space="preserve">Large, multi-component budgets (vary widely by IC and NOFO)</t>
  </si>
  <si>
    <t xml:space="preserve">Typically 5 years, renewable</t>
  </si>
  <si>
    <t xml:space="preserve">no (institution/PD-led; eligibility per NOFO). Individual project/core leaders vary.</t>
  </si>
  <si>
    <t xml:space="preserve">Three P-series activity codes collapsed. P30 is primarily infrastructure/shared-core support; P01 and P50 combine research projects with cores. Usually RFA/PAR-driven.</t>
  </si>
  <si>
    <t xml:space="preserve">Multi-component review: overall program impact plus separate evaluation of each project and core, leadership/synergy, and (for P30) the quality and value of shared resources to the funded user base.</t>
  </si>
  <si>
    <t xml:space="preserve">https://grants.nih.gov/funding/activity-codes/P30</t>
  </si>
  <si>
    <t xml:space="preserve">NIH Clinical Trial / Research Planning Grant (R34)</t>
  </si>
  <si>
    <t xml:space="preserve">Support planning and development activities — team assembly, protocol/design finalization, operations/data-management tools, and feasibility data — that lead to a subsequent full clinical trial or research project.</t>
  </si>
  <si>
    <t xml:space="preserve">Up to $225,000 direct costs/yr; up to $450,000 total (varies by IC)</t>
  </si>
  <si>
    <t xml:space="preserve">Up to 3 years</t>
  </si>
  <si>
    <t xml:space="preserve">no. Not renewable (one-time planning award).</t>
  </si>
  <si>
    <t xml:space="preserve">3 standard cycles/yr; modular budgets (except foreign). Permits early peer review of a trial's rationale/concept.</t>
  </si>
  <si>
    <t xml:space="preserve">NIH simplified 3-factor framework applied to the planning aims (Importance; Rigor &amp; Feasibility of the planning plan; Expertise &amp; Resources).</t>
  </si>
  <si>
    <t xml:space="preserve">https://grants.nih.gov/funding/activity-codes/R34</t>
  </si>
  <si>
    <t xml:space="preserve">NIH Director's Early Independence Award (DP5)</t>
  </si>
  <si>
    <t xml:space="preserve">transition, early_career_faculty</t>
  </si>
  <si>
    <t xml:space="preserve">biomedical_health, life_sciences, domain_agnostic</t>
  </si>
  <si>
    <t xml:space="preserve">Enable exceptional junior scientists to skip the traditional postdoc and move immediately into an independent research position (NIH Common Fund High-Risk, High-Reward).</t>
  </si>
  <si>
    <t xml:space="preserve">$250,000 direct costs/yr</t>
  </si>
  <si>
    <t xml:space="preserve">Applicants from 16 months before to 12 months after receipt of a doctoral degree or end of post-graduate clinical training; must be in a non-independent position at application.</t>
  </si>
  <si>
    <t xml:space="preserve">institutional_nomination_limited</t>
  </si>
  <si>
    <t xml:space="preserve">yes: for individuals who have NOT yet moved into an independent position and are within the tight early-independence window; enables bypassing postdoctoral training.</t>
  </si>
  <si>
    <t xml:space="preserve">Institutions are limited to 2 applications per year (limited submission). One receipt date per year.</t>
  </si>
  <si>
    <t xml:space="preserve">Common Fund HRHR specialized review emphasizing the candidate's exceptional promise, readiness for independence, and the host institution's commitment.</t>
  </si>
  <si>
    <t xml:space="preserve">https://commonfund.nih.gov/earlyindependence</t>
  </si>
  <si>
    <t xml:space="preserve">NIH Director's New Innovator Award (DP2)</t>
  </si>
  <si>
    <t xml:space="preserve">Support unusually creative Early Stage Investigators proposing innovative, high-impact projects (NIH Common Fund High-Risk, High-Reward), without requiring extensive preliminary data.</t>
  </si>
  <si>
    <t xml:space="preserve">$475,000 direct costs/yr; up to $2,375,000 total direct costs over the 5-year award (per current RFA-RM-27-002)</t>
  </si>
  <si>
    <t xml:space="preserve">Early Stage Investigators only (within 10 years of terminal degree and no prior R01-equivalent NIH award); single PD/PI; ≥25% research effort.</t>
  </si>
  <si>
    <t xml:space="preserve">yes (ESI gate): must not have received an R01-equivalent or other substantial NIH independent research award; ESI status required.</t>
  </si>
  <si>
    <t xml:space="preserve">One receipt date per year.</t>
  </si>
  <si>
    <t xml:space="preserve">Low single-digit % (est.)</t>
  </si>
  <si>
    <t xml:space="preserve">Common Fund HRHR specialized review emphasizing innovation/creativity and ESI potential; multi-stage editorial-board review (not standard study-section criteria).</t>
  </si>
  <si>
    <t xml:space="preserve">https://commonfund.nih.gov/newinnovator</t>
  </si>
  <si>
    <t xml:space="preserve">NIH Director's Pioneer Award (DP1)</t>
  </si>
  <si>
    <t xml:space="preserve">Support individual scientists of exceptional creativity who propose pioneering, potentially transformative approaches to major challenges in biomedical/behavioral/social science (NIH Common Fund High-Risk, High-Reward).</t>
  </si>
  <si>
    <t xml:space="preserve">$700,000 direct costs/yr (up to $3.5M direct costs over 5 years)</t>
  </si>
  <si>
    <t xml:space="preserve">Open to all career stages (single PD/PI); requires ≥51% research effort in years 1-3 (stepping down in years 4-5); must propose a new research direction.</t>
  </si>
  <si>
    <t xml:space="preserve">no (holding other NIH support is allowed); single-PI, new-direction requirement.</t>
  </si>
  <si>
    <t xml:space="preserve">One receipt date per year. High-Risk, High-Reward program.</t>
  </si>
  <si>
    <t xml:space="preserve">Common Fund HRHR specialized review: emphasis on the significance/transformative potential of the idea and the investigator's creativity and track record; multi-stage editorial-board review with possible finalist interviews (not standard study-section criteria).</t>
  </si>
  <si>
    <t xml:space="preserve">Community knowledge: bold vision and investigator creativity weigh more than detailed preliminary data; finalist interviews can matter (confidence low).</t>
  </si>
  <si>
    <t xml:space="preserve">https://commonfund.nih.gov/pioneer</t>
  </si>
  <si>
    <t xml:space="preserve">NIH Exploratory/Developmental Research Grant (Parent R21)</t>
  </si>
  <si>
    <t xml:space="preserve">Support early-stage, exploratory or developmental, higher-risk research — novel approaches, feasibility, or new methods — where preliminary data may be limited.</t>
  </si>
  <si>
    <t xml:space="preserve">Up to $275,000 direct costs total over 2 years (no more than $200,000 in any single year)</t>
  </si>
  <si>
    <t xml:space="preserve">Up to 2 years</t>
  </si>
  <si>
    <t xml:space="preserve">no (preliminary data not required; open to all career stages). Not intended for large or extended projects.</t>
  </si>
  <si>
    <t xml:space="preserve">3 standard cycles/yr. Not renewable as an R21.</t>
  </si>
  <si>
    <t xml:space="preserve">~13-16% success rate (est.)</t>
  </si>
  <si>
    <t xml:space="preserve">NIH simplified 3-factor framework (Importance; Rigor &amp; Feasibility; Expertise &amp; Resources).</t>
  </si>
  <si>
    <t xml:space="preserve">https://grants.nih.gov/funding/activity-codes/R21</t>
  </si>
  <si>
    <t xml:space="preserve">NIH Institutional Research Training Grant (Ruth L. Kirschstein NRSA T32)</t>
  </si>
  <si>
    <t xml:space="preserve">graduate_predoc, postdoc</t>
  </si>
  <si>
    <t xml:space="preserve">training, salary_stipend</t>
  </si>
  <si>
    <t xml:space="preserve">Enable institutions to develop or enhance research-training opportunities and to appoint predoctoral and/or postdoctoral trainees to structured programs in areas of NIH-mission need.</t>
  </si>
  <si>
    <t xml:space="preserve">Trainee stipends + tuition/fees + training-related expenses + institutional allowance (per appointed slot)</t>
  </si>
  <si>
    <t xml:space="preserve">Up to 5 years, renewable</t>
  </si>
  <si>
    <t xml:space="preserve">The INSTITUTION (via a program director/faculty) applies; appointed trainees must be U.S. citizens, non-citizen nationals, or permanent residents.</t>
  </si>
  <si>
    <t xml:space="preserve">n/a at the grant level; individual trainees are subject to NRSA aggregate support limits (5 yrs predoctoral / 3 yrs postdoctoral across institutional + individual awards) and NRSA payback/service provisions.</t>
  </si>
  <si>
    <t xml:space="preserve">Institutional award; program director assembles faculty, trainees, curriculum. Trainee-citizenship gate is the notable restriction.</t>
  </si>
  <si>
    <t xml:space="preserve">Institutional training-grant criteria (revised): Training Program &amp; Environment; Program Director(s)/Faculty; Trainees &amp; Recruitment; Training Record &amp; Evaluation.</t>
  </si>
  <si>
    <t xml:space="preserve">https://grants.nih.gov/funding/activity-codes/T32</t>
  </si>
  <si>
    <t xml:space="preserve">NIH Loan Repayment Programs (Extramural LRP)</t>
  </si>
  <si>
    <t xml:space="preserve">postdoc, early_career_faculty, physician_scientist</t>
  </si>
  <si>
    <t xml:space="preserve">loan_repayment</t>
  </si>
  <si>
    <t xml:space="preserve">salary_stipend, career_development</t>
  </si>
  <si>
    <t xml:space="preserve">Repay qualified educational debt for doctoral-level researchers who commit to NIH mission-relevant research, helping recruit and retain health-research talent.</t>
  </si>
  <si>
    <t xml:space="preserve">Not a research project grant — an individual loan-repayment benefit. Multiple topic-specific subprograms collapsed to one row per dataset guidance.</t>
  </si>
  <si>
    <t xml:space="preserve">Up to $50,000/yr of qualified educational debt repayment (confirmed current on grants.nih.gov LRP award page; plus tax offset)</t>
  </si>
  <si>
    <t xml:space="preserve">Initial 2-year contracts, renewable (1-2 year renewals)</t>
  </si>
  <si>
    <t xml:space="preserve">Doctoral-level degree; U.S. citizen/national/permanent resident; qualified educational debt ≥~20% of institutional base salary; engaged ≥20 hrs/week in qualifying research funded by a domestic nonprofit/university/government entity; not a federal employee.</t>
  </si>
  <si>
    <t xml:space="preserve">Extramural research-focus subprograms (Clinical; Pediatric; Health Disparities; Contraception &amp; Infertility; Emerging Areas/REACH)</t>
  </si>
  <si>
    <t xml:space="preserve">does not require holding an NIH research grant; excludes federal employees and debt already covered by other loan-repayment obligations; research must be nonprofit/government-supported.</t>
  </si>
  <si>
    <t xml:space="preserve">nonprofit_only</t>
  </si>
  <si>
    <t xml:space="preserve">Extramural subprograms collapsed: Clinical Research (LRP-CR), Pediatric Research (LRP-PR), Health Disparities Research (LRP-HDR), Contraception &amp; Infertility Research (LRP-CIR), and Research in Emerging Areas Critical to Human Health (LRP-REACH). A subprogram aimed at clinical researchers from disadvantaged backgrounds (LRP-CRDB, NOT-OD-25-095) expired in 2025.</t>
  </si>
  <si>
    <t xml:space="preserve">LRP review: applicant's potential/commitment to a research career, qualifications and training, and the appropriateness/quality of the research and environment — not a project-science (study-section) review.</t>
  </si>
  <si>
    <t xml:space="preserve">https://www.lrp.nih.gov/</t>
  </si>
  <si>
    <t xml:space="preserve">NIH Mentored Clinical Scientist Research Career Development Award (Parent K08)</t>
  </si>
  <si>
    <t xml:space="preserve">Support supervised research career development of clinically trained professionals (e.g., MD, DO, DDS, DVM, PharmD) committed to laboratory or translational biomedical research.</t>
  </si>
  <si>
    <t xml:space="preserve">Salary support up to IC cap + research development costs (varies by IC) (est.)</t>
  </si>
  <si>
    <t xml:space="preserve">3-5 years</t>
  </si>
  <si>
    <t xml:space="preserve">Clinical doctoral degree + clinical training; U.S. citizen/national/permanent resident by award; ≥75% (9 person-months) effort (some clinical carve-outs).</t>
  </si>
  <si>
    <t xml:space="preserve">yes: ineligible if current/former PD/PI on an NIH R01, P01, P50, or other major individual career/independent award (incl. DP5, K01, K07, K08, K22, K23, K25, K76, K99/R00). CARVE-OUTS preserving eligibility (quoted from PA-24-182): R03 Small Grant, R21/R33 Exploratory, R34/U34 Planning, R36 Dissertation, SBIR/STTR (R41, R42, R43, R44), K38 Transition Scholar, and institutional K appointments (K12, KL2).</t>
  </si>
  <si>
    <t xml:space="preserve">3 standard cycles/yr. Clinical-trial variants: independent CT not allowed / required / basic-experimental-with-humans (PA-24-181/182/183).</t>
  </si>
  <si>
    <t xml:space="preserve">Mentored-K criteria (traditional K structure, not the simplified RPG framework): Candidate; Career Development Plan/Career Goals &amp; Objectives; Research Plan; Mentor(s)/Co-Mentor(s)/Consultant(s)/Collaborator(s); Environment &amp; Institutional Commitment.</t>
  </si>
  <si>
    <t xml:space="preserve">https://grants.nih.gov/grants/guide/pa-files/PA-24-182.html</t>
  </si>
  <si>
    <t xml:space="preserve">NIH Mentored Patient-Oriented Research Career Development Award (Parent K23)</t>
  </si>
  <si>
    <t xml:space="preserve">Support the mentored career development of clinically trained investigators committed to patient-oriented research (direct interaction with human subjects).</t>
  </si>
  <si>
    <t xml:space="preserve">Clinical doctoral degree; U.S. citizen/national/permanent resident by award; ≥75% (9 person-months) effort; focus on patient-oriented research.</t>
  </si>
  <si>
    <t xml:space="preserve">yes: same mentored-K exclusions as K08 — ineligible if current/former PD/PI of R01/P01/P50 or other major independent/career award (incl. prior K01/K08/K23/K25/K76/K99-R00, DP5). Carve-outs preserving eligibility: R03, R21/R33, R34/U34, R36, SBIR/STTR (R41-R44), K38, K12/KL2.</t>
  </si>
  <si>
    <t xml:space="preserve">3 standard cycles/yr. The clinical counterpart to K08 for human-subjects/patient-oriented research.</t>
  </si>
  <si>
    <t xml:space="preserve">Mentored-K criteria (traditional K structure): Candidate; Career Development Plan/Career Goals &amp; Objectives; Research Plan; Mentor(s)/Collaborators; Environment &amp; Institutional Commitment.</t>
  </si>
  <si>
    <t xml:space="preserve">https://grants.nih.gov/funding/activity-codes/K23</t>
  </si>
  <si>
    <t xml:space="preserve">NIH Mentored Quantitative Research Career Development Award (Parent K25)</t>
  </si>
  <si>
    <t xml:space="preserve">computing_math, engineering, physical_sciences, biomedical_health</t>
  </si>
  <si>
    <t xml:space="preserve">Support career development of investigators with quantitative/computational backgrounds (math, statistics, physics, engineering, computer science, imaging/informatics) who are making a transition into biomedical, behavioral, or clinical research.</t>
  </si>
  <si>
    <t xml:space="preserve">Quantitative-science doctorate; U.S. citizen/national/permanent resident by award; career stage from postdoctoral through junior faculty; ≥75% (9 person-months) effort.</t>
  </si>
  <si>
    <t xml:space="preserve">yes: standard mentored-K exclusions — ineligible if current/former PD/PI of R01/P01/P50 or other major independent/career award (incl. prior K awards, DP5). Carve-outs preserving eligibility: R03, R21/R33, R34/U34, R36, SBIR/STTR (R41-R44), K38, K12/KL2.</t>
  </si>
  <si>
    <t xml:space="preserve">3 standard cycles/yr. Purpose is disciplinary bridge into biomedical research.</t>
  </si>
  <si>
    <t xml:space="preserve">Mentored-K criteria (traditional K structure): Candidate; Career Development Plan/Goals; Research Plan; Mentor(s)/Collaborators; Environment &amp; Institutional Commitment.</t>
  </si>
  <si>
    <t xml:space="preserve">https://grants.nih.gov/funding/activity-codes/K25</t>
  </si>
  <si>
    <t xml:space="preserve">NIH Mentored Research Scientist Development Award (Parent K01)</t>
  </si>
  <si>
    <t xml:space="preserve">Provide protected time and supervised/mentored research career development for a research scientist, often to gain new expertise or change research direction.</t>
  </si>
  <si>
    <t xml:space="preserve">Salary support up to IC cap + research development costs; total commonly ~$100k-$175k/yr (varies by IC) (est.)</t>
  </si>
  <si>
    <t xml:space="preserve">Research doctorate; U.S. citizen/national/permanent resident by award; ≥75% (9 person-months) effort. IC-specific windows apply.</t>
  </si>
  <si>
    <t xml:space="preserve">yes: ineligible if current/former PD/PI of an NIH R01, P01, P50, or other major independent/career award (incl. DP1/DP2/DP5 and prior K01/K07/K08/K22/K23/K25/K76/K99-R00). Carve-outs preserving eligibility: R03, R21/R33, R34/U34, R36 Dissertation, SBIR/STTR (R41-R44), K38, and institutional K appointments (K12/KL2). (Standard mentored-K eligibility per Parent K NOFOs.)</t>
  </si>
  <si>
    <t xml:space="preserve">3 standard cycles/yr. Some ICs use K01 specifically for defined populations/fields.</t>
  </si>
  <si>
    <t xml:space="preserve">Mentored-K criteria (K awards are NOT on the simplified RPG 3-factor framework): Candidate; Career Development Plan/Career Goals &amp; Objectives; Research Plan; Mentor(s)/Co-Mentor(s)/Consultant(s)/Collaborator(s); Environment &amp; Institutional Commitment.</t>
  </si>
  <si>
    <t xml:space="preserve">https://grants.nih.gov/funding/activity-codes/K01</t>
  </si>
  <si>
    <t xml:space="preserve">NIH Midcareer Investigator Award in Patient-Oriented Research (Parent K24)</t>
  </si>
  <si>
    <t xml:space="preserve">midcareer, physician_scientist</t>
  </si>
  <si>
    <t xml:space="preserve">career_development, salary_stipend</t>
  </si>
  <si>
    <t xml:space="preserve">Provide protected time to already-independent mid-career clinician-investigators to conduct patient-oriented research and to mentor the next generation of POR investigators.</t>
  </si>
  <si>
    <t xml:space="preserve">Salary support + research/mentoring costs (varies by IC) (est.)</t>
  </si>
  <si>
    <t xml:space="preserve">Independent mid-career investigator; clinical doctoral degree; U.S. citizen/national/permanent resident by award; ≥25-50% effort (varies).</t>
  </si>
  <si>
    <t xml:space="preserve">INVERTED eligibility: REQUIRES current independent, peer-reviewed research support as PD/PI (e.g., active R01 or equivalent) at time of award. Intended for funded independent investigators — the opposite of the mentored-K exclusions. Not for those lacking independent funding.</t>
  </si>
  <si>
    <t xml:space="preserve">3 standard cycles/yr. Emphasis on mentoring role; candidate must be an established POR investigator.</t>
  </si>
  <si>
    <t xml:space="preserve">K24 criteria emphasize the candidate's independent research record, quality of the mentoring plan, patient-oriented research plan, and environment/institutional commitment.</t>
  </si>
  <si>
    <t xml:space="preserve">https://grants.nih.gov/funding/activity-codes/K24</t>
  </si>
  <si>
    <t xml:space="preserve">NIH Pathway to Independence Award (K99/R00)</t>
  </si>
  <si>
    <t xml:space="preserve">postdoc, transition, physician_scientist</t>
  </si>
  <si>
    <t xml:space="preserve">career_development, research_project, salary_stipend</t>
  </si>
  <si>
    <t xml:space="preserve">Facilitate a timely transition of outstanding postdoctoral researchers from mentored (K99) to independent, tenure-track-eligible faculty (R00) positions with independent NIH research support.</t>
  </si>
  <si>
    <t xml:space="preserve">K99: up to $125,000 direct costs/yr; R00: up to $249,000 total costs/yr (equipment capped $50k)</t>
  </si>
  <si>
    <t xml:space="preserve">Up to 5 years total (K99 ≤2 yrs mentored + R00 ≤3 yrs independent)</t>
  </si>
  <si>
    <t xml:space="preserve">No more than 4 years of postdoctoral research experience at submission (extensions for childbirth, family/medical leave, field change, career breaks with prior IC approval). Must hold a mentored postdoc position — faculty/independent applicants ineligible.</t>
  </si>
  <si>
    <t xml:space="preserve">yes: ineligible if currently or previously an independent PD/PI on an NIH research grant (e.g., R01, R03, R21), an NIH career development (K) award, or another peer-reviewed research grant over $100,000 direct costs/yr; may not hold a concurrent independent research award or another pending career award (per Parent K99/R00 NOFO PA-24-194).</t>
  </si>
  <si>
    <t xml:space="preserve">NOTABLY does NOT require U.S. citizenship/permanent residence (confirmed in PA-24-194; unlike NRSA F/T awards). K99 requires ≥75% (9 person-months) effort. Physician-scientist and clinical-trial variants exist at several ICs.</t>
  </si>
  <si>
    <t xml:space="preserve">~25-30% (est.)</t>
  </si>
  <si>
    <t xml:space="preserve">Mentored career-award criteria (K awards are NOT on the simplified RPG framework): Candidate; Career Development Plan/Goals; Research Plan; Mentor(s)/Collaborators; Environment &amp; Institutional Commitment (with emphasis on transition to independence).</t>
  </si>
  <si>
    <t xml:space="preserve">https://nigms.nih.gov/training/careerdev/Pages/PathwayIndependence</t>
  </si>
  <si>
    <t xml:space="preserve">NIH Phased Milestone-Driven Awards (UG3/UH3 and UH2/UH3)</t>
  </si>
  <si>
    <t xml:space="preserve">Support two-phase, milestone-gated projects: an initial development/feasibility phase (UG3 or UH2) that must meet defined go/no-go milestones before transitioning to an expanded implementation phase (UH3).</t>
  </si>
  <si>
    <t xml:space="preserve">Phased, go/no-go structure with a formal administrative milestone review before releasing second-phase funds. UG3/UH3 and many UH2/UH3 are cooperative agreements (substantial NIH involvement). Distinct from SBIR/STTR, where commercialization lives.</t>
  </si>
  <si>
    <t xml:space="preserve">Phase-specific, milestone-defined budgets (varies by NOFO)</t>
  </si>
  <si>
    <t xml:space="preserve">First phase ~1-2 yrs then second phase ~2-3 yrs after milestone review</t>
  </si>
  <si>
    <t xml:space="preserve">no (initiative-driven; eligibility per NOFO).</t>
  </si>
  <si>
    <t xml:space="preserve">Issued via targeted initiatives (e.g., HEAL, clinical/translational programs). Two activity-code pairs collapsed here: UG3→UH3 (cooperative agreement) and UH2→UH3.</t>
  </si>
  <si>
    <t xml:space="preserve">NIH simplified 3-factor framework plus explicit evaluation of proposed milestones and the go/no-go transition plan.</t>
  </si>
  <si>
    <t xml:space="preserve">https://grants.nih.gov/funding/activity-codes/UG3</t>
  </si>
  <si>
    <t xml:space="preserve">NIH R01 for Early Stage / New Investigators (ESI/NI-flagged R01)</t>
  </si>
  <si>
    <t xml:space="preserve">Standard R01 carrying an Early Stage Investigator (ESI) / New Investigator (NI) flag, giving first-time independent PIs special payline and review consideration.</t>
  </si>
  <si>
    <t xml:space="preserve">Split from the generic R01 row because career-stage eligibility, review handling, and paylines differ (a filterable field).</t>
  </si>
  <si>
    <t xml:space="preserve">Same as R01 (typically &lt;$500,000 direct costs/yr)</t>
  </si>
  <si>
    <t xml:space="preserve">ESI = within 10 years of completing terminal research degree OR end of post-graduate clinical training, AND has not previously competed successfully for a substantial NIH independent research award (R01-equivalent). Extensions available (e.g., family/medical leave, clinical duties).</t>
  </si>
  <si>
    <t xml:space="preserve">eligibility ENHANCEMENT, not exclusion: prior/current small awards do NOT remove ESI/NI status — R03, R21, R34/U34, R15, R36, SBIR/STTR, all F and K awards (incl. K99/R00) preserve ESI. Winning an R01, U01, P01, DP1/DP2, or other substantial independent research award ends ESI/NI status.</t>
  </si>
  <si>
    <t xml:space="preserve">Same R01 application; ESI apps are clustered in study section and reviewed against peers; ICs typically extend the payline for ESI-flagged applications.</t>
  </si>
  <si>
    <t xml:space="preserve">ESI paylines typically more generous than established-PI R01 paylines (est.)</t>
  </si>
  <si>
    <t xml:space="preserve">Same simplified 3-factor framework as R01 (Factor 1 Importance; Factor 2 Rigor &amp; Feasibility; Factor 3 Expertise &amp; Resources).</t>
  </si>
  <si>
    <t xml:space="preserve">Community knowledge: ESI applications receive payline breaks and are grouped separately in review (well-established).</t>
  </si>
  <si>
    <t xml:space="preserve">https://grants.nih.gov/policy-and-compliance/policy-topics/early-stage-investigators/policy</t>
  </si>
  <si>
    <t xml:space="preserve">NIH Research Project Cooperative Agreement (U01)</t>
  </si>
  <si>
    <t xml:space="preserve">Support a discrete, specified research project (scientific scope like an R01) carried out under a cooperative agreement in which NIH staff have substantial, defined programmatic involvement.</t>
  </si>
  <si>
    <t xml:space="preserve">COOPERATIVE AGREEMENT (U-series): investigator-initiated science but with SUBSTANTIAL NIH programmatic staff involvement as scientific partners — e.g., joint steering committees, milestones, shared decision-making, common protocols/data-sharing. NOT a translation-specific vehicle; the 'U' denotes agency involvement, not project type.</t>
  </si>
  <si>
    <t xml:space="preserve">Varies by NOFO (often larger, milestone-linked)</t>
  </si>
  <si>
    <t xml:space="preserve">Typically 3-5 years</t>
  </si>
  <si>
    <t xml:space="preserve">no (typically driven by targeted NOFOs/RFAs; open to eligible investigators).</t>
  </si>
  <si>
    <t xml:space="preserve">Almost always issued under specific initiatives rather than a single parent PA; scope and involvement defined per NOFO.</t>
  </si>
  <si>
    <t xml:space="preserve">https://grants.nih.gov/funding/activity-codes/U01</t>
  </si>
  <si>
    <t xml:space="preserve">NIH Research Project Grant (Parent R01)</t>
  </si>
  <si>
    <t xml:space="preserve">Support a discrete, specified, circumscribed project in the PI's area of competence; NIH's flagship investigator-initiated, hypothesis-driven research grant.</t>
  </si>
  <si>
    <t xml:space="preserve">Typically &lt;$500,000 direct costs/yr; modular up to $250,000/yr</t>
  </si>
  <si>
    <t xml:space="preserve">Up to 5 years (commonly 3-5)</t>
  </si>
  <si>
    <t xml:space="preserve">Open to new and established investigators; single- or multi-PI; domestic and foreign institutions.</t>
  </si>
  <si>
    <t xml:space="preserve">no (no prior-funding bar; open to new and established investigators). PIs with no prior substantial NIH independent award are flagged New Investigator/ESI (see ESI row).</t>
  </si>
  <si>
    <t xml:space="preserve">3 standard due-date cycles/yr; budgets &gt;$500,000 direct costs in any year need prior NIH acceptance.</t>
  </si>
  <si>
    <t xml:space="preserve">~20% funding success rate (est.)</t>
  </si>
  <si>
    <t xml:space="preserve">NIH simplified framework (due dates on/after 2025-01-25): Factor 1 Importance of the Research (Significance, Innovation); Factor 2 Rigor and Feasibility (Approach, incl. inclusion &amp; clinical-trial elements); Factor 3 Expertise and Resources (Investigators, Environment). Overall Impact 1-9.</t>
  </si>
  <si>
    <t xml:space="preserve">Community knowledge: Approach/rigor historically the dominant driver of the overall impact score; strong preliminary data expected (confidence low).</t>
  </si>
  <si>
    <t xml:space="preserve">https://grants.nih.gov/funding/activity-codes/R01</t>
  </si>
  <si>
    <t xml:space="preserve">NIH Resource-Related Research Projects / Resource Grants (R24 and U24)</t>
  </si>
  <si>
    <t xml:space="preserve">infrastructure_equipment</t>
  </si>
  <si>
    <t xml:space="preserve">research_project, community</t>
  </si>
  <si>
    <t xml:space="preserve">Support research infrastructure and shared resources — data/biospecimen repositories, coordinating centers, tools, methods, dissemination and enhancement of research resources — that serve a research community.</t>
  </si>
  <si>
    <t xml:space="preserve">U24 = cooperative agreement (substantial NIH programmatic involvement); R24 = standard grant. Collapsed as one resource-mechanism row with the coop-agreement variant noted.</t>
  </si>
  <si>
    <t xml:space="preserve">infrastructure_resource</t>
  </si>
  <si>
    <t xml:space="preserve">Varies by resource (often multi-year, sizable)</t>
  </si>
  <si>
    <t xml:space="preserve">Typically up to 5 years</t>
  </si>
  <si>
    <t xml:space="preserve">Two activity codes collapsed: R24 (grant) and U24 (cooperative-agreement variant with substantial NIH involvement, often coordinating/data centers).</t>
  </si>
  <si>
    <t xml:space="preserve">Resource-specific criteria: need/utility of the resource to the research community, quality/innovation, access &amp; data-sharing plan, and management/oversight.</t>
  </si>
  <si>
    <t xml:space="preserve">https://grants.nih.gov/funding/activity-codes/R24</t>
  </si>
  <si>
    <t xml:space="preserve">NIH SBIR/STTR Small Business Programs (R43/R44 SBIR; R41/R42 STTR)</t>
  </si>
  <si>
    <t xml:space="preserve">commercialization, research_project</t>
  </si>
  <si>
    <t xml:space="preserve">biomedical_health, life_sciences, engineering</t>
  </si>
  <si>
    <t xml:space="preserve">Fund U.S. small businesses to conduct R&amp;D with strong potential for commercialization of biomedical products/services: Phase I (feasibility/proof-of-concept) and Phase II (full R&amp;D), with Fast-Track combining both.</t>
  </si>
  <si>
    <t xml:space="preserve">This is where NIH commercialization lives (per dataset rules). SBIR (R43/R44) vs STTR (R41/R42) differ mainly by the mandatory nonprofit research-institution partnership and work-split — a filterable difference noted rather than split.</t>
  </si>
  <si>
    <t xml:space="preserve">Phase I: normally ≤$323,090 total costs; Phase II: normally ≤$2,153,927 total costs (current NIH/SBA guideline caps, adjusted annually; topic-specific waivers allow higher amounts)</t>
  </si>
  <si>
    <t xml:space="preserve">Phase I ~6 months-1 year; Phase II ~2 years (up to 3)</t>
  </si>
  <si>
    <t xml:space="preserve">eligibility gate is organizational: for-profit U.S. small business (≤500 employees; &gt;50% U.S.-owned by individuals/other eligible small businesses). SBIR: PI's primary employment must be with the small business; SB performs ≥67% (Phase I)/≥50% (Phase II). STTR: formal partnership with a U.S. nonprofit research institution required, with the research institution performing ≥30% and the small business ≥40% of the work; STTR PI may be at either partner.</t>
  </si>
  <si>
    <t xml:space="preserve">small_business</t>
  </si>
  <si>
    <t xml:space="preserve">3 standard cycles/yr. Contract solicitations also exist. SBIR and STTR collapsed (they differ in the RI-partnership requirement, noted).</t>
  </si>
  <si>
    <t xml:space="preserve">NIH simplified 3-factor framework PLUS commercialization potential/commercial merit as an explicit review consideration.</t>
  </si>
  <si>
    <t xml:space="preserve">https://seed.nih.gov/small-business-funding</t>
  </si>
  <si>
    <t xml:space="preserve">NIH Small Research Grant (Parent R03)</t>
  </si>
  <si>
    <t xml:space="preserve">Support small, discrete, well-defined projects: pilot/feasibility studies, secondary analysis of existing data, small self-contained research, or development of new methodology.</t>
  </si>
  <si>
    <t xml:space="preserve">Up to $50,000 direct costs/yr</t>
  </si>
  <si>
    <t xml:space="preserve">no (open to all stages). Not renewable; not for large/extended projects.</t>
  </si>
  <si>
    <t xml:space="preserve">3 standard cycles/yr; modular budget.</t>
  </si>
  <si>
    <t xml:space="preserve">https://grants.nih.gov/funding/activity-codes/R03</t>
  </si>
  <si>
    <t xml:space="preserve">Ruth L. Kirschstein NRSA Individual Postdoctoral Fellowship (Parent F32)</t>
  </si>
  <si>
    <t xml:space="preserve">Enhance the research training of promising postdoctoral candidates who have the potential to become productive, independent investigators in health-related research.</t>
  </si>
  <si>
    <t xml:space="preserve">NRSA postdoctoral stipend (by years of experience) + allowances</t>
  </si>
  <si>
    <t xml:space="preserve">Research or clinical doctoral degree; U.S. citizen/national/permanent resident by award; postdoctoral stage.</t>
  </si>
  <si>
    <t xml:space="preserve">yes: may not have previously been PD/PI on a substantial NIH research grant; aggregate NRSA postdoctoral support capped at 3 years across institutional (T32) + individual fellowships; may not concurrently hold another duplicative federal fellowship.</t>
  </si>
  <si>
    <t xml:space="preserve">3 standard cycles/yr.</t>
  </si>
  <si>
    <t xml:space="preserve">Revised NRSA fellowship criteria (2025): (1) Fellowship Applicant's Preparedness &amp; Potential; (2) Research Training Plan; (3) Commitment to the Candidate (Sponsor/mentoring &amp; Institutional Environment).</t>
  </si>
  <si>
    <t xml:space="preserve">https://grants.nih.gov/funding/activity-codes/F32</t>
  </si>
  <si>
    <t xml:space="preserve">Ruth L. Kirschstein NRSA Individual Predoctoral Fellowship (Parent F31)</t>
  </si>
  <si>
    <t xml:space="preserve">Provide predoctoral PhD students with supervised research training toward becoming independent biomedical, behavioral, or clinical research scientists.</t>
  </si>
  <si>
    <t xml:space="preserve">F31-Diversity is documented here as a discontinued variant rather than a separate active row because a discontinued program is not a standing mechanism; the discontinuation is itself the required post-SFFA identity drift finding.</t>
  </si>
  <si>
    <t xml:space="preserve">NRSA predoctoral stipend + tuition/fees + institutional allowance (stipend set annually)</t>
  </si>
  <si>
    <t xml:space="preserve">Currently enrolled in a PhD or equivalent research-doctoral program; U.S. citizen, non-citizen national, or permanent resident by time of award.</t>
  </si>
  <si>
    <t xml:space="preserve">yes: may not have previously been PD/PI on an NIH research grant; aggregate NRSA predoctoral support capped at 5 years across institutional (T32) + individual fellowships; may not concurrently hold another federal fellowship that duplicates the award; ineligible once the doctoral degree is conferred. (Parent F31 PA-25-422.)</t>
  </si>
  <si>
    <t xml:space="preserve">3 standard cycles/yr. IMPORTANT DRIFT: the former Parent F31-Diversity announcement (predoctoral fellowship to promote diversity; PA-21-052 lineage) was DISCONTINUED in 2025 — the diversity application pathway ended ~late May 2025, some active diversity F31 awards were terminated (corroborated by 2025 NIH-F31 termination reporting), and NIH directed diversity-eligible applicants to this standard Parent F31. Post-SFFA / DEI executive-action driven; historical race/ethnicity 'restricted_to' status is NOT carried forward.</t>
  </si>
  <si>
    <t xml:space="preserve">Revised NRSA fellowship criteria (due dates on/after 2025-01-25): (1) Fellowship Applicant's Preparedness &amp; Potential; (2) Research Training Plan; (3) Commitment to the Candidate (Sponsor/mentoring &amp; Institutional Environment).</t>
  </si>
  <si>
    <t xml:space="preserve">https://grants.nih.gov/grants/guide/pa-files/PA-25-422.html</t>
  </si>
  <si>
    <t xml:space="preserve">Ruth L. Kirschstein NRSA Individual Predoctoral MD/PhD (Dual-Degree) Fellowship (F30)</t>
  </si>
  <si>
    <t xml:space="preserve">graduate_predoc, physician_scientist</t>
  </si>
  <si>
    <t xml:space="preserve">Support integrated research and clinical training of predoctoral students in approved dual-doctoral-degree programs (MD/PhD, DO/PhD, DDS/PhD, DVM/PhD, AuD/PhD) developing into clinician-scientists.</t>
  </si>
  <si>
    <t xml:space="preserve">NRSA predoctoral stipend + tuition/fees + institutional allowance (stipend levels set annually)</t>
  </si>
  <si>
    <t xml:space="preserve">Up to 6 years (dual-degree)</t>
  </si>
  <si>
    <t xml:space="preserve">Must be enrolled in an approved dual-degree program; U.S. citizen/national/permanent resident by award.</t>
  </si>
  <si>
    <t xml:space="preserve">yes: individual predoctoral NRSA rules apply — may not have previously been PD/PI on an NIH research grant; aggregate NRSA predoctoral support capped (up to 6 years for dual-degree F30 trainees, vs 5 for F31); cannot concurrently hold another federal fellowship duplicating the award; ineligible once the PhD is conferred.</t>
  </si>
  <si>
    <t xml:space="preserve">3 standard cycles/yr. Differs from F31 mainly by required dual-degree enrollment and physician-scientist track (a filterable career-stage difference).</t>
  </si>
  <si>
    <t xml:space="preserve">https://grants.nih.gov/funding/activity-codes/F30</t>
  </si>
  <si>
    <t xml:space="preserve">Ruth L. Kirschstein NRSA Senior Fellowship (F33)</t>
  </si>
  <si>
    <t xml:space="preserve">senior_established, midcareer</t>
  </si>
  <si>
    <t xml:space="preserve">Support experienced scientists who wish to make major changes in research direction, broaden their scientific background, acquire new research capabilities, or take a sabbatical for retraining.</t>
  </si>
  <si>
    <t xml:space="preserve">NRSA senior stipend + allowances</t>
  </si>
  <si>
    <t xml:space="preserve">Up to 2 years (est.)</t>
  </si>
  <si>
    <t xml:space="preserve">Established/senior scientists, typically ≥7 years of relevant postdoctoral/research experience; U.S. citizen/national/permanent resident by award; U.S. domestic or foreign sponsoring institutions eligible.</t>
  </si>
  <si>
    <t xml:space="preserve">yes: individual NRSA senior fellowship; for independently experienced scientists changing direction/retraining — not for early-stage trainees; standard NRSA duplication/payback rules apply.</t>
  </si>
  <si>
    <t xml:space="preserve">3 standard cycles/yr. Distinguished from F32 by career stage (experienced vs early postdoc).</t>
  </si>
  <si>
    <t xml:space="preserve">unspecified (low volume)</t>
  </si>
  <si>
    <t xml:space="preserve">Revised NRSA fellowship criteria (2025): Applicant's Preparedness &amp; Potential; Research Training Plan; Commitment to the Candidate (Sponsor &amp; Environment), oriented to a senior retraining/change-of-direction plan.</t>
  </si>
  <si>
    <t xml:space="preserve">https://grants.nih.gov/funding/activity-codes/F33</t>
  </si>
  <si>
    <t xml:space="preserve">Research Supplements to Promote Re-entry, Re-integration into, and Re-training in Health-Related (Biomedical and Behavioral) Research Careers - Re-entry component</t>
  </si>
  <si>
    <t xml:space="preserve">National Institutes of Health (NIH); led by the Office of Research on Women's Health (ORWH) and administered by participating Institutes/Centers (e.g., NHLBI, NCI, NIA, NIDA, NIGMS, NINDS)</t>
  </si>
  <si>
    <t xml:space="preserve">reentry, postdoc, early_career_faculty</t>
  </si>
  <si>
    <t xml:space="preserve">salary_stipend, career_development, training, research_project</t>
  </si>
  <si>
    <t xml:space="preserve">biomedical_health, life_sciences, social_sciences</t>
  </si>
  <si>
    <t xml:space="preserve">Provides administrative supplements to active NIH research grants to support individuals with high potential to re-enter an active biomedical or behavioral research career after a qualifying interruption (family/caregiving, illness or injury, relocation, debt-driven non-research work, emergency job loss, or military service) through a mentored research training experience.</t>
  </si>
  <si>
    <t xml:space="preserve">Administrative supplement to an existing active NIH research grant (parent Administrative Supplement PA-20-272, now the PA-26-001 lineage), NOT a standalone award: the re-entering scientist is added to a current PI's active grant. The umbrella NOSI historically bundled three distinct tracks - Re-entry (return after interruption), Re-integration (leaving unsafe/discriminatory research environments), and Re-training (acquiring new skills). NIH restructured in 2025: combined NOSI NOT-OD-23-170 had its expiration pulled forward to 09/09/2025, and Institutes now present Re-entry separately (e.g., NHLBI posts 'Re-Entry' pages split by career level, dropping the re-integration/re-training branding).</t>
  </si>
  <si>
    <t xml:space="preserve">Salary plus fringe at the NIH-appropriate level plus a modest research allowance (e.g., NHLBI: up to $6,000/yr supplies and travel and up to $1,000/yr for scientific meetings); total varies by Institute/Center and the host grant</t>
  </si>
  <si>
    <t xml:space="preserve">1 to 3 years (up to the remaining project period of the parent grant)</t>
  </si>
  <si>
    <t xml:space="preserve">Career interruption of at least 6 months (1 year at some Institutes) and no more than 8 years; candidate must have been in an advanced postdoctoral or investigator-level position at the time of the interruption</t>
  </si>
  <si>
    <t xml:space="preserve">Requires an existing active NIH research grant to host the supplement (the mechanism is itself a supplement to current NIH funding); the re-entering candidate must not currently hold independent research support and generally cannot be a current PD/PI on an NIH research award.</t>
  </si>
  <si>
    <t xml:space="preserve">The re-entering individual must hold a doctoral (or equivalent) degree with prior advanced-postdoc or investigator-level experience, must not currently be engaged in full-time paid research, and applies through a mentor/PI who holds an active, eligible NIH research grant with sufficient time remaining. Qualifying interruption reasons include childcare/family responsibilities, illness or injury, relocation, debt-driven non-research work, emergency job loss (e.g., COVID-19), and military service.</t>
  </si>
  <si>
    <t xml:space="preserve">Administrative (non-peer) IC review of the candidate's potential to re-enter an independent research career, the quality and appropriateness of the mentored training plan, and relevance to the parent grant and the Institute's mission</t>
  </si>
  <si>
    <t xml:space="preserve">A strong, well-funded host lab/mentor with an active parent grant; a credible time-limited plan to return to independent research; clear documentation of the qualifying interruption</t>
  </si>
  <si>
    <t xml:space="preserve">https://grants.nih.gov/grants/guide/notice-files/NOT-OD-23-170.html</t>
  </si>
  <si>
    <t xml:space="preserve">Last umbrella NOSI NOT-OD-23-170 (released 09/06/2023) had its expiration moved up to 09/09/2025; a reissued umbrella NOSI was not locatable in the NIH Guide as of the checked date. The program remains active and is administered by individual Institutes/Centers via IC-specific guidelines tied to the parent Administrative Supplement PA. Confirm the current IC notice with the target Institute before applying.</t>
  </si>
  <si>
    <t xml:space="preserve">CyberCorps Scholarship for Service (SFS) / CyberAICorps (CyberAI SFS)</t>
  </si>
  <si>
    <t xml:space="preserve">National Science Foundation (NSF)</t>
  </si>
  <si>
    <t xml:space="preserve">undergraduate, graduate_predoc</t>
  </si>
  <si>
    <t xml:space="preserve">computing_math</t>
  </si>
  <si>
    <t xml:space="preserve">Addresses cybersecurity and AI workforce shortages by funding student scholarships in exchange for a post-graduation government service obligation; expanded to AI (CyberAI SFS).</t>
  </si>
  <si>
    <t xml:space="preserve">Renamed CyberAICorps (CyberAI SFS); current solicitation NSF 26-503 confirmed active (posted Feb 4, 2026; replaces NSF 23-574). Classified training_grant (institutionally administered workforce scholarship with a service obligation); submission_path=other to reflect the institution-proposal-then-student-scholarship structure. topic_restricted=true with specific_topic captures the cybersecurity/AI gate in its own column.</t>
  </si>
  <si>
    <t xml:space="preserve">Student stipends $27,000/yr (undergraduate) and $37,000/yr (graduate) + full tuition/fees + $6,000/yr professional allowance</t>
  </si>
  <si>
    <t xml:space="preserve">Up to 3 years of scholarship support per student</t>
  </si>
  <si>
    <t xml:space="preserve">Students: US citizens or lawful permanent residents, enrolled full-time, within ~3 years of degree completion (community-college sophomore; bachelor's junior/senior; master's or doctoral), who commit to post-graduation government service equal to the scholarship length. Institutions: accredited US institutions of higher education submit proposals.</t>
  </si>
  <si>
    <t xml:space="preserve">Cybersecurity and artificial intelligence (AI) workforce, including using AI in cybersecurity operations and securing/making resilient AI systems</t>
  </si>
  <si>
    <t xml:space="preserve">no</t>
  </si>
  <si>
    <t xml:space="preserve">Institutions apply and administer scholarships; enrolled students then apply to the funded SFS program and accept a binding federal (or state/local/tribal) service commitment. Citizenship encoded as citizen_national_pr_required (page specifies US citizens or lawful permanent residents). Stipends ($27K UG / $37K grad), tuition, and $6K professional allowance reconfirmed against active NSF 26-503.</t>
  </si>
  <si>
    <t xml:space="preserve">Intellectual Merit and Broader Impacts, plus solicitation-specific program criteria.</t>
  </si>
  <si>
    <t xml:space="preserve">Broader Impacts weighs in review; demonstrated placement of graduates into qualifying government service is treated as central to program competitiveness (community knowledge).</t>
  </si>
  <si>
    <t xml:space="preserve">https://www.nsf.gov/funding/opportunities/cyberai-sfs-cyberaicorps-scholarship-service/nsf26-503/solicitation</t>
  </si>
  <si>
    <t xml:space="preserve">Two focus areas in NSF 26-503: Cyber (using AI in cybersecurity) and AI (securing AI systems). Service obligation is at least the length of the scholarship.</t>
  </si>
  <si>
    <t xml:space="preserve">EArly-concept Grants for Exploratory Research (EAGER)</t>
  </si>
  <si>
    <t xml:space="preserve">domain_agnostic</t>
  </si>
  <si>
    <t xml:space="preserve">Supports exploratory work on untested but potentially transformative 'high-risk, high-reward' ideas or approaches in their earliest stages.</t>
  </si>
  <si>
    <t xml:space="preserve">Classified research_grant with exploratory_highrisk stage; submission_path=other because prior PO concurrence is mandatory. Defined in PAPPG Chapter II (24-1 confirmed current).</t>
  </si>
  <si>
    <t xml:space="preserve">Up to $300,000 total</t>
  </si>
  <si>
    <t xml:space="preserve">Any eligible NSF PI/organization; requires prior program-officer consultation and concurrence before submission.</t>
  </si>
  <si>
    <t xml:space="preserve">Not a standalone solicitation; a special proposal type available across NSF programs. $300K/2yr limits corroborated on NSF's early-career researchers page.</t>
  </si>
  <si>
    <t xml:space="preserve">Intellectual Merit and Broader Impacts; reviewed internally at NSF (external review at NSF's option), no external panel required.</t>
  </si>
  <si>
    <t xml:space="preserve">Prior program-officer buy-in is effectively decisive—EAGERs are PO-championed and cannot be submitted without concurrence (community knowledge).</t>
  </si>
  <si>
    <t xml:space="preserve">https://www.nsf.gov/policies/pappg/24-1/ch-2-proposal-preparation</t>
  </si>
  <si>
    <t xml:space="preserve">Paired with RAPID as NSF's flexible non-standard funding mechanisms.</t>
  </si>
  <si>
    <t xml:space="preserve">Faculty Early Career Development Program (CAREER)</t>
  </si>
  <si>
    <t xml:space="preserve">Supports early-career faculty who can serve as academic role models in research and education and lead advances in their department/organization's mission; requires integration of research and education.</t>
  </si>
  <si>
    <t xml:space="preserve">Standing single-PI early-career mechanism (not a one-off solicitation); classified career_development_award. PECASE nominations are drawn from CAREER awardees.</t>
  </si>
  <si>
    <t xml:space="preserve">Minimum $400,000 total over 5 years; some directorates (e.g., BIO, ENG, CISE) set a $500,000 minimum</t>
  </si>
  <si>
    <t xml:space="preserve">Untenured, pre-tenure tenure-track (or equivalent) faculty holding a PhD at an eligible US organization; one CAREER submission per annual competition, up to three attempts while eligible.</t>
  </si>
  <si>
    <t xml:space="preserve">yes: may not have received a prior CAREER award; PI must be untenured and in a tenure-track (or tenure-track-equivalent) Assistant Professor (or equivalent) position holding a doctoral degree at submission. Prior/other NSF research grants (e.g., standard grants) do NOT disqualify.</t>
  </si>
  <si>
    <t xml:space="preserve">No citizenship requirement for the PI; eligibility is defined by pre-tenure faculty status at an eligible US institution. Not a limited submission, but one proposal per PI per annual competition.</t>
  </si>
  <si>
    <t xml:space="preserve">unspecified (varies by directorate)</t>
  </si>
  <si>
    <t xml:space="preserve">Intellectual Merit and Broader Impacts (NSF's two merit-review criteria), plus integration of research and education.</t>
  </si>
  <si>
    <t xml:space="preserve">Broader Impacts is widely regarded as make-or-break; a compelling, well-integrated education/outreach plan is treated as essential regardless of research strength (well-established community knowledge).</t>
  </si>
  <si>
    <t xml:space="preserve">https://www.nsf.gov/funding/opportunities/career-faculty-early-career-development-program</t>
  </si>
  <si>
    <t xml:space="preserve">Verified current solicitation NSF 22-586; annual deadline is July 22 (2026 cycle). Amounts ($400K min; $500K min for some directorates) confirmed on funder page.</t>
  </si>
  <si>
    <t xml:space="preserve">Grants for Rapid Response Research (RAPID)</t>
  </si>
  <si>
    <t xml:space="preserve">Supports quick-response research on the availability of, or access to, ephemeral data/phenomena, including responses to natural or anthropogenic disasters and other urgent events.</t>
  </si>
  <si>
    <t xml:space="preserve">$200,000 / 1-year caps are the long-standing PAPPG Chapter II limits (PAPPG 24-1 confirmed current); the figures did not render on-page to the extractor at fetch, so confidence is medium pending direct on-page confirmation. Paired with EAGER.</t>
  </si>
  <si>
    <t xml:space="preserve">Up to $200,000 total (PAPPG limit)</t>
  </si>
  <si>
    <t xml:space="preserve">Up to 1 year</t>
  </si>
  <si>
    <t xml:space="preserve">Any eligible NSF PI/organization; for urgent, time-sensitive research (e.g., quickly perishable data or events, or response to disasters/emergencies); requires prior program-officer concurrence before submission.</t>
  </si>
  <si>
    <t xml:space="preserve">Not a standalone solicitation; a special proposal type available across NSF programs.</t>
  </si>
  <si>
    <t xml:space="preserve">Intellectual Merit and Broader Impacts; reviewed internally at NSF, no external panel required.</t>
  </si>
  <si>
    <t xml:space="preserve">Program-officer concurrence before submission is effectively required and decisive (community knowledge).</t>
  </si>
  <si>
    <t xml:space="preserve">research_stage=unspecified because RAPID spans urgent data collection across the research spectrum.</t>
  </si>
  <si>
    <t xml:space="preserve">Major Research Instrumentation (MRI) Program</t>
  </si>
  <si>
    <t xml:space="preserve">equipment</t>
  </si>
  <si>
    <t xml:space="preserve">Increases access to shared, multi-user scientific and engineering instrumentation by funding the acquisition or development of research instruments.</t>
  </si>
  <si>
    <t xml:space="preserve">Classified infrastructure_equipment. Source URL corrected from a PDF resource link to NSF's own solicitation page. NSF 23-519 remains the active solicitation; tracks, award ceilings, per-institution limits, and cost-sharing waiver confirmed unchanged for FY2026.</t>
  </si>
  <si>
    <t xml:space="preserve">Track 1: &gt;$100,000–&lt;$1,400,000; Track 2: $1,400,000–$4,000,000; Track 3 (helium conservation/recovery): $100,000–$4,000,000</t>
  </si>
  <si>
    <t xml:space="preserve">Up to 3 years (acquisition or development)</t>
  </si>
  <si>
    <t xml:space="preserve">US institutions of higher education (PhD- and non-PhD-granting), non-profit non-academic research organizations, and consortia. Limited submission: max 4 proposals/institution (≤2 Track 1, ≤1 Track 2, ≤1 Track 3).</t>
  </si>
  <si>
    <t xml:space="preserve">Cost-sharing waived for 5 years beginning with the FY2023 competition; voluntary committed cost-sharing prohibited. Limited-submission institutional cap (submission_path=institutional_nomination_limited).</t>
  </si>
  <si>
    <t xml:space="preserve">Intellectual Merit and Broader Impacts, plus MRI-specific factors (need for and impact of the instrumentation, and management/operation plan).</t>
  </si>
  <si>
    <t xml:space="preserve">Broader Impacts weighs in review, and demonstrated multi-user access/shared use is treated as central to competitiveness (community knowledge).</t>
  </si>
  <si>
    <t xml:space="preserve">https://www.nsf.gov/funding/opportunities/mri-major-research-instrumentation-program/nsf23-519/solicitation</t>
  </si>
  <si>
    <t xml:space="preserve">Track 3 added to conserve/recover helium; all tracks cap at $4M. NOTE: NSF suspended the FY2026 submission window (Oct 15–Nov 14, 2025) to fund additional awards from the FY2025 cohort; next window anticipated Oct 15–Nov 16, 2026. Program remains standing.</t>
  </si>
  <si>
    <t xml:space="preserve">Mathematical Sciences Postdoctoral Research Fellowships (MSPRF)</t>
  </si>
  <si>
    <t xml:space="preserve">Supports future leaders in mathematics and statistics by facilitating participation in postdoctoral research environments that maximize scientific development.</t>
  </si>
  <si>
    <t xml:space="preserve">Representative MPS (mathematics) directorate postdoctoral fellowship. Two tenure options (Research Fellowship vs Research Instructorship).</t>
  </si>
  <si>
    <t xml:space="preserve">$190,000 total (monthly stipend + $50,000 in research/fringe allowances)</t>
  </si>
  <si>
    <t xml:space="preserve">24 months of support within a 48-month period (Research Fellowship or Research Instructorship option)</t>
  </si>
  <si>
    <t xml:space="preserve">US citizen, national, or permanent resident; PhD in mathematics or statistics held no longer than 2 years as of Jan 1 of the award year (or conferred before the appointment start).</t>
  </si>
  <si>
    <t xml:space="preserve">yes: may not have previously held an MSPRF; may not have been PI/co-PI on any NSF award other than a graduate/other fellowship or conference award; doctorate must be ≤2 years old as of Jan 1 of the award year.</t>
  </si>
  <si>
    <t xml:space="preserve">MPS/Division of Mathematical Sciences program. Fellowship awarded to the individual, submitted directly by the proposer to NSF.</t>
  </si>
  <si>
    <t xml:space="preserve">Intellectual Merit and Broader Impacts.</t>
  </si>
  <si>
    <t xml:space="preserve">Broader Impacts is a well-established make-or-break criterion in NSF review (community knowledge).</t>
  </si>
  <si>
    <t xml:space="preserve">https://www.nsf.gov/funding/opportunities/msprf-mathematical-sciences-postdoctoral-research-fellowships/nsf23-603/solicitation</t>
  </si>
  <si>
    <t xml:space="preserve">Current solicitation NSF 23-603 confirmed active on funder page; next deadline the third Wednesday in October (Oct 21, 2026).</t>
  </si>
  <si>
    <t xml:space="preserve">Non-Academic Research Internships for Graduate Students (INTERN) and Graduate Research Internship Program (GRIP) supplements</t>
  </si>
  <si>
    <t xml:space="preserve">training, career_development, salary_stipend</t>
  </si>
  <si>
    <t xml:space="preserve">Provides graduate students hands-on non-academic (INTERN) or federal-agency (GRIP) research internships for professional development and preparation for multiple career pathways.</t>
  </si>
  <si>
    <t xml:space="preserve">Supplemental funding mechanisms (not standalone awards). INTERN and GRIP are collapsed into one row as variants of NSF's graduate-internship supplement; they differ mainly in eligibility (active-award grad students vs GRFP fellows) and host type (non-academic vs federal agency). INTERN is actively promoted by the TIP directorate; GRIP was not surfaced on the current TIP/INTERN page and its DCL appears archived — hence medium confidence.</t>
  </si>
  <si>
    <t xml:space="preserve">INTERN: up to $55,000 supplement (covers up to 6 months of stipend, travel, tuition/fees, health insurance)</t>
  </si>
  <si>
    <t xml:space="preserve">Up to 6 months (INTERN)</t>
  </si>
  <si>
    <t xml:space="preserve">INTERN: graduate students supported on an active NSF research award, via a PI supplemental funding request, for a non-academic (industry, startup, government, non-profit) internship. GRIP: current NSF GRFP fellows, for internships at partner federal agencies.</t>
  </si>
  <si>
    <t xml:space="preserve">requires an active NSF research award (INTERN) or a current GRFP fellowship (GRIP); otherwise none</t>
  </si>
  <si>
    <t xml:space="preserve">INTERN imposes no separate citizenship gate beyond the parent award's rules; GRIP is limited to GRFP fellows (who are US citizens, nationals, or permanent residents). Requested via the PI (INTERN) or arranged by the GRFP fellow (GRIP). INTERN confirmed active on the TIP directorate page (up to $55K, up to 6 months, 250+/year).</t>
  </si>
  <si>
    <t xml:space="preserve">NSF supports 250+ INTERN experiences per year</t>
  </si>
  <si>
    <t xml:space="preserve">Reviewed internally by the cognizant NSF program officer as a supplemental funding request; no external panel.</t>
  </si>
  <si>
    <t xml:space="preserve">https://www.nsf.gov/tip/intern</t>
  </si>
  <si>
    <t xml:space="preserve">GRIP federal partners historically include Census, DHS, EPA, NOAA, Smithsonian, USGS.</t>
  </si>
  <si>
    <t xml:space="preserve">NSF Astronomy and Astrophysics Postdoctoral Fellowships (AAPF)</t>
  </si>
  <si>
    <t xml:space="preserve">physical_sciences</t>
  </si>
  <si>
    <t xml:space="preserve">Supports an integrated program of independent research and education in areas supported by the Division of Astronomical Sciences.</t>
  </si>
  <si>
    <t xml:space="preserve">Representative MPS (astronomy) directorate postdoctoral fellowship; combines independent research and education. NSF 22-621 confirmed as the current/active solicitation ('this document is the current version').</t>
  </si>
  <si>
    <t xml:space="preserve">$110,000/yr ($75,000 stipend + $35,000 fellowship allowance)</t>
  </si>
  <si>
    <t xml:space="preserve">Up to 36 months (within a 48-month fellowship period)</t>
  </si>
  <si>
    <t xml:space="preserve">US citizen, national, or permanent resident; PhD in astronomy/astrophysics or a related field earned ≤5 years before the deadline (or by 1 Oct after).</t>
  </si>
  <si>
    <t xml:space="preserve">yes: PhD must be earned within 5 years before the deadline (or completed by Oct 1 following it); maximum two AAPF competitions, one proposal per competition.</t>
  </si>
  <si>
    <t xml:space="preserve">Fellowship awarded to the individual; the Fellow serves as their own sponsored-projects office. MPS/Division of Astronomical Sciences.</t>
  </si>
  <si>
    <t xml:space="preserve">~8–9 awards/year (per current solicitation)</t>
  </si>
  <si>
    <t xml:space="preserve">https://www.nsf.gov/funding/opportunities/aapf-nsf-astronomy-astrophysics-postdoctoral-fellowships</t>
  </si>
  <si>
    <t xml:space="preserve">Longer post-PhD window (5 yr) than most NSF directorate postdocs. Amount ($110K/yr = $75K + $35K), ~8–9 awards/yr, and 5-year rule reconfirmed against active NSF 22-621.</t>
  </si>
  <si>
    <t xml:space="preserve">NSF GOALI - Grant Opportunities for Academic Liaison with Industry</t>
  </si>
  <si>
    <t xml:space="preserve">research_project, training</t>
  </si>
  <si>
    <t xml:space="preserve">Support high-risk/high-gain, transformative fundamental research through synergistic university-industry partnerships that lie beyond what industry would normally fund.</t>
  </si>
  <si>
    <t xml:space="preserve">GOALI is NOT a standalone program but a cross-directorate MECHANISM/designation (BIO, CISE, EDU, ENG, GEO, MPS, SBE, OIA): proposals are submitted to a participating NSF program as a full GOALI proposal or a GOALI supplement. Funder is FEDERAL (NSF) - the 'mixed' element of this industry bucket; the primary NSF academic-industry liaison vehicle. Award size/duration governed by the host program. AUDIT 2026-07-18: the linked nsf.gov page is an ARCHIVED synopsis (former solicitation NSF 10-580) that itself points to the current version (NSF 12-513); GOALI guidance is now maintained in the NSF PAPPG. Mechanism confirmed still standing across the 8 listed directorates; source_url retained on NSF's own domain but flagged archived.</t>
  </si>
  <si>
    <t xml:space="preserve">Varies by host program/directorate; funds a project or supplement within the host program's range (est.)</t>
  </si>
  <si>
    <t xml:space="preserve">Varies by host program (commonly up to 3-5 years, aligned to the host solicitation)</t>
  </si>
  <si>
    <t xml:space="preserve">NSF-eligible academic PIs at US institutions with an active industrial partner/collaborator</t>
  </si>
  <si>
    <t xml:space="preserve">Requires an academic-industry partnership. Mechanism supports faculty, postdocs, and students to gain industrial research experience, industrial scientists to bring industry perspective, and interdisciplinary university-industry teams. Cadence follows the participating host program.</t>
  </si>
  <si>
    <t xml:space="preserve">NSF merit review: Intellectual Merit and Broader Impacts (plus appropriateness/strength of the industry partnership).</t>
  </si>
  <si>
    <t xml:space="preserve">https://www.nsf.gov/funding/opportunities/goali-grant-opportunities-academic-liaison-industry/13706</t>
  </si>
  <si>
    <t xml:space="preserve">Federal mechanism enabling industry collaboration; not corporate money, but the standard NSF pathway for industry-partnered academic research.</t>
  </si>
  <si>
    <t xml:space="preserve">NSF Graduate Research Fellowship Program (GRFP)</t>
  </si>
  <si>
    <t xml:space="preserve">Recognizes and supports outstanding students in NSF-supported STEM and STEM-education fields to help ensure the quality, vitality and diversity of the US science and engineering workforce.</t>
  </si>
  <si>
    <t xml:space="preserve">Fellowship awarded to the individual; stipend disbursed via the institution. Standing annual competition; current solicitation NSF 25-547 (updated from the row's prior NSF 24-591). Stipend $37,000 + $16,000 COE confirmed current on funder page.</t>
  </si>
  <si>
    <t xml:space="preserve">$37,000 annual stipend + $16,000 cost-of-education allowance (to the institution), per year</t>
  </si>
  <si>
    <t xml:space="preserve">3 years of support within a 5-year fellowship period</t>
  </si>
  <si>
    <t xml:space="preserve">US citizen, national, or permanent resident; pursuing or intending to pursue a research-based master's/PhD in a GRFP-eligible STEM or STEM-education field; at or near the start of graduate study.</t>
  </si>
  <si>
    <t xml:space="preserve">yes: ineligible if already hold a doctoral/graduate degree in a GRFP-eligible field or have completed more than one academic year of graduate study (narrow interruption exceptions apply); may apply only once as a graduate student. Undergraduates/those not yet enrolled may apply.</t>
  </si>
  <si>
    <t xml:space="preserve">Excludes clinical/practice-focused and non-STEM fields (e.g., medicine practice, law, business). Fellowship is portable to any accredited US graduate institution.</t>
  </si>
  <si>
    <t xml:space="preserve">~2,000 new fellowships awarded per year (est.); official success rate not published</t>
  </si>
  <si>
    <t xml:space="preserve">Intellectual Merit and Broader Impacts (applied to the applicant's demonstrated potential).</t>
  </si>
  <si>
    <t xml:space="preserve">Broader Impacts is a genuine make-or-break axis; reviewers heavily weight demonstrated outreach/service and a compelling personal and research trajectory (well-established community knowledge).</t>
  </si>
  <si>
    <t xml:space="preserve">https://www.nsf.gov/funding/opportunities/grfp-nsf-graduate-research-fellowship-program</t>
  </si>
  <si>
    <t xml:space="preserve">Active GRFP fellows can access GRIP and INTERN internship supplements (see separate row). NSF announced 2026 GRFP award offers.</t>
  </si>
  <si>
    <t xml:space="preserve">NSF Research Grants — core disciplinary programs (standard or continuing grant)</t>
  </si>
  <si>
    <t xml:space="preserve">Investigator-initiated fundamental research supported through NSF's core disciplinary programs across all fields it funds.</t>
  </si>
  <si>
    <t xml:space="preserve">Guidance row for NSF's core research-grant instrument (not a single solicitation). A STANDARD grant obligates the full award at the outset; a CONTINUING grant obligates funds in annual increments contingent on availability of funds and satisfactory progress. The two differ only in the funding-obligation schedule—eligibility, purpose, career stage and review criteria are identical—so they are collapsed into one row per the split rule. PAPPG 24-1 (eff. May 20, 2024, with Supplements 1–2) confirmed as the current policy guide.</t>
  </si>
  <si>
    <t xml:space="preserve">Varies widely by program; commonly ~$100,000–$600,000 total (est.); no fixed statutory cap</t>
  </si>
  <si>
    <t xml:space="preserve">Typically up to 3 years (up to 5 for some programs)</t>
  </si>
  <si>
    <t xml:space="preserve">Open to eligible organizations (US institutions of higher education, non-profit non-academic organizations, and others per PAPPG); no PI citizenship or career-stage restriction for core disciplinary-program proposals.</t>
  </si>
  <si>
    <t xml:space="preserve">Many core programs accept proposals with no deadline (rolling) or on annual target dates set per program.</t>
  </si>
  <si>
    <t xml:space="preserve">Varies by program; NSF overall funding rate is roughly one-quarter of proposals (est.)</t>
  </si>
  <si>
    <t xml:space="preserve">Broader Impacts is a well-established make-or-break criterion in panel review; a weak or perfunctory Broader Impacts plan sinks otherwise strong proposals (community knowledge).</t>
  </si>
  <si>
    <t xml:space="preserve">https://www.nsf.gov/policies/pappg/24-1/ch-6-nsf-awards</t>
  </si>
  <si>
    <t xml:space="preserve">Standard vs continuing is an award-instrument choice (PAPPG Ch. VI) made by the program officer, not a separate program or a filterable eligibility difference.</t>
  </si>
  <si>
    <t xml:space="preserve">Postdoctoral Research Fellowships in Biology (PRFB)</t>
  </si>
  <si>
    <t xml:space="preserve">life_sciences</t>
  </si>
  <si>
    <t xml:space="preserve">Supports research and training of early-career biologists via three competitive areas: Rules of Life; Broadening Participation of Groups Underrepresented in Biology; and Plant Genome.</t>
  </si>
  <si>
    <t xml:space="preserve">identity_gate_type=prioritizes reflects the 'Broadening Participation of Groups Underrepresented in Biology' competitive area, which centers research/activities on underrepresented groups; the fellowship overall is open to all eligible applicants (activity-based soft prioritization, not a hard applicant gate). VERIFIED: this competitive area still exists as Competitive Area 1 in the current NSF 26-504 solicitation, so the prioritization is retained despite NSF's 2025 broadening-participation policy shift.</t>
  </si>
  <si>
    <t xml:space="preserve">$240,000 total ($80,000/yr: $60,000 stipend + $20,000 research/training allowance)</t>
  </si>
  <si>
    <t xml:space="preserve">36 months</t>
  </si>
  <si>
    <t xml:space="preserve">US citizen, national, or permanent resident; PhD in a biological-sciences field (conferred before the fellowship start); ≤15 full-time months of doctoral-level employment before the deadline.</t>
  </si>
  <si>
    <t xml:space="preserve">underrepresented_minorities</t>
  </si>
  <si>
    <t xml:space="preserve">prioritizes</t>
  </si>
  <si>
    <t xml:space="preserve">yes: ineligible if worked more than 15 full-time months in a position requiring the doctorate before the deadline; limited to two lifetime PRFB submissions (one per fiscal year). Prior NSF research awards are not a bar.</t>
  </si>
  <si>
    <t xml:space="preserve">Fellowship awarded to the individual—no institution submits. years_since_degree_max encoded as 1 (rule is ≤15 months of doctoral-level employment, not calendar years since PhD). $240K total, $80K/yr, and 15-month rule reconfirmed against current NSF 26-504.</t>
  </si>
  <si>
    <t xml:space="preserve">Broader Impacts is a well-established make-or-break criterion in NSF panel review (community knowledge).</t>
  </si>
  <si>
    <t xml:space="preserve">https://www.nsf.gov/funding/opportunities/prfb-postdoctoral-research-fellowships-biology/nsf26-504/solicitation</t>
  </si>
  <si>
    <t xml:space="preserve">Source URL and solicitation updated from archived NSF 23-620 to current NSF 26-504.</t>
  </si>
  <si>
    <t xml:space="preserve">Research Experiences for Undergraduates (REU) — Sites</t>
  </si>
  <si>
    <t xml:space="preserve">training, salary_stipend, research_project</t>
  </si>
  <si>
    <t xml:space="preserve">Increases undergraduate involvement in NSF-supported research; REU Sites support cohorts of students around a coherent intellectual theme.</t>
  </si>
  <si>
    <t xml:space="preserve">REU Sites are standalone competitive grants to host institutions; distinct from REU Supplements (separate row) in submission path and structure. IDENTITY DOWNGRADED: identity_targeting changed from [underrepresented_minorities]/prioritizes to [none]/n/a — the historical broadening-participation/underrepresented-group emphasis was reframed to 'open to all' following NSF's 2025 priorities shift, and the current funder page no longer preferences underrepresented groups.</t>
  </si>
  <si>
    <t xml:space="preserve">Varies; typically several hundred thousand dollars total over ~3 years to host a cohort (est.); students receive stipends set per Site</t>
  </si>
  <si>
    <t xml:space="preserve">Site awards typically 3 years; ~8–10-week summer experiences for students</t>
  </si>
  <si>
    <t xml:space="preserve">Undergraduate participants must be US citizens, nationals, or permanent residents who have not yet received a bachelor's degree at the time of the program; host PIs submit a Site proposal via a US institution.</t>
  </si>
  <si>
    <t xml:space="preserve">Student citizenship/residency requirement applies to funded participants, not to the host PI. The current REU page frames the goal as attracting 'a diverse pool of talented students' into STEM and involving undergraduates in 'all types' of NSF research; per NSF's April 18, 2025 priorities, activities must be open and available to all Americans and may not preference protected-class groups.</t>
  </si>
  <si>
    <t xml:space="preserve">Broader Impacts is a well-established make-or-break criterion; a strong student recruitment, mentoring, and cohort-building plan is central to competitiveness. (Post-2025, NSF frames recruitment as open to all students rather than preferencing underrepresented groups.)</t>
  </si>
  <si>
    <t xml:space="preserve">https://www.nsf.gov/funding/initiatives/reu/faculty</t>
  </si>
  <si>
    <t xml:space="preserve">Individual disciplinary divisions administer Site competitions with their own deadlines.</t>
  </si>
  <si>
    <t xml:space="preserve">Research Experiences for Undergraduates (REU) — Supplements</t>
  </si>
  <si>
    <t xml:space="preserve">Adds undergraduate researchers to ongoing NSF-funded projects to broaden undergraduate involvement in research.</t>
  </si>
  <si>
    <t xml:space="preserve">REU Supplement is added to an existing NSF award; differs from REU Sites in submission path and structure, hence a separate row per the split rule. IDENTITY DOWNGRADED: identity_targeting changed from [underrepresented_minorities]/prioritizes to [none]/n/a following NSF's 2025 'open to all' reframing of broadening-participation.</t>
  </si>
  <si>
    <t xml:space="preserve">Typically supports 1–2 undergraduates (larger cohorts for centers/major efforts); per-student amount set by the program (est.)</t>
  </si>
  <si>
    <t xml:space="preserve">Tied to the parent award; typically summer research</t>
  </si>
  <si>
    <t xml:space="preserve">Requires an active NSF research award; the PI requests support for typically 1–2 undergraduates (US citizens, nationals, or permanent residents). No fixed deadline—coordinate timing with the cognizant program officer.</t>
  </si>
  <si>
    <t xml:space="preserve">no (requires an existing active NSF research award to which the supplement is attached)</t>
  </si>
  <si>
    <t xml:space="preserve">Student citizenship/residency requirement applies to the funded undergraduate participants. Requested by the PI of an active award, not a standalone proposal.</t>
  </si>
  <si>
    <t xml:space="preserve">Reviewed by the cognizant NSF program officer as a supplemental funding request (not an external panel); Intellectual Merit and Broader Impacts still frame the request.</t>
  </si>
  <si>
    <t xml:space="preserve">No formal deadline; subject to program-officer timing.</t>
  </si>
  <si>
    <t xml:space="preserve">SBE Postdoctoral Research Fellowships (SPRF)</t>
  </si>
  <si>
    <t xml:space="preserve">social_sciences</t>
  </si>
  <si>
    <t xml:space="preserve">Promotes fundamental SBE research, researcher independence and advanced training; historically via two tracks: Fundamental Research (SPRF-FR) and Broadening Participation (SPRF-BP).</t>
  </si>
  <si>
    <t xml:space="preserve">identity_gate_type=prioritizes reflects the historical SPRF-BP track (research/activities that broaden participation of underrepresented groups); recorded as a soft, activity-based prioritization, not a hard applicant gate. 'disability' dropped from identity_targeting (not present on the current program page). Whether the SPRF-BP track survives republication is uncertain under NSF's April 2025 priorities, which require broadening-participation activities to be open and available to all Americans.</t>
  </si>
  <si>
    <t xml:space="preserve">~$138,000 total ($54,000/yr stipend + $15,000/yr research allowance), per NSF 18-584/23-500 (to re-verify at republication)</t>
  </si>
  <si>
    <t xml:space="preserve">Up to 24 months</t>
  </si>
  <si>
    <t xml:space="preserve">US citizen, national, or permanent resident; PhD in a social, behavioral or economic sciences field within 36 months before the deadline (or within 10 months after); not in a tenure-track faculty position.</t>
  </si>
  <si>
    <t xml:space="preserve">yes: PhD in an SBE field within 36 months before the deadline (or within 10 months after); applicant must not hold a full-time tenure-track position; may not resubmit the same research to another NSF program.</t>
  </si>
  <si>
    <t xml:space="preserve">Representative SBE directorate postdoctoral fellowship. VERIFIED CURRENT STATE: program page shows 'Status: Waiting for new publication' with no open due dates (latest solicitation NSF 23-500); amounts/eligibility are from NSF 18-584/23-500 and must be re-verified when republished — hence LOW confidence (downgraded from medium).</t>
  </si>
  <si>
    <t xml:space="preserve">https://www.nsf.gov/funding/opportunities/sprf-sbe-postdoctoral-research-fellowships</t>
  </si>
  <si>
    <t xml:space="preserve">low</t>
  </si>
  <si>
    <t xml:space="preserve">Historically two tracks: SPRF-FR and SPRF-BP. Currently between publications with no open due dates.</t>
  </si>
  <si>
    <t xml:space="preserve">SBIR / STTR (cross-agency small-business R&amp;D)</t>
  </si>
  <si>
    <t xml:space="preserve">SBIR/STTR (multi-agency, SBA-coordinated)</t>
  </si>
  <si>
    <t xml:space="preserve">Provides equity-free federal R&amp;D funding to help US small businesses develop and commercialize innovative technologies; STTR additionally requires partnership with a nonprofit research institution.</t>
  </si>
  <si>
    <t xml:space="preserve">coverage_type=guidance: a cross-agency framework, not one funder's program. Instruments vary — grants at NIH/NSF/DOE/USDA, contracts at DoD/NASA — so mechanism_type=research_grant is a representative label with the grant-vs-contract split noted. Distinct from NIH R41–R44/SBIR and NSF SBIR (covered in those sweeps); this row captures the cross-agency small-business/commercialization framing. Phase I/II guideline caps re-confirmed on sbir.gov (April 2026 figures).</t>
  </si>
  <si>
    <t xml:space="preserve">Phase I up to ~$323,090; Phase II up to ~$2,153,927 (SBA guideline caps, as of April 2026; higher amounts require SBA waiver)</t>
  </si>
  <si>
    <t xml:space="preserve">Phase I ~6–12 months (feasibility); Phase II ~24 months (development); Phase III commercialization (non-SBIR/STTR funds)</t>
  </si>
  <si>
    <t xml:space="preserve">for-profit US small business (SBIR: PI primarily employed by the firm; STTR: PI may be at the partner research institution)</t>
  </si>
  <si>
    <t xml:space="preserve">n/a (career): eligibility is firm-based, not career-stage-based; firm must meet size/ownership/US-location rules.</t>
  </si>
  <si>
    <t xml:space="preserve">Eligible: US for-profit small businesses (&lt;500 employees), more than 50% owned/controlled by US individuals (or, since 2011, majority VC/PE/hedge-fund ownership at some agencies). STTR requires a formal partnership with a nonprofit research institution (small business &gt;=40% of work, research institution &gt;=30%). 11 agencies run SBIR; 5 run STTR; coordinated by the SBA.</t>
  </si>
  <si>
    <t xml:space="preserve">Agency-specific merit review: technical innovation/feasibility, commercialization potential, and team/firm qualifications; criteria and weighting vary by participating agency.</t>
  </si>
  <si>
    <t xml:space="preserve">Commercialization potential/customer-pull is frequently decisive, especially at Phase II; broadly established community knowledge, treat as low-confidence.</t>
  </si>
  <si>
    <t xml:space="preserve">https://www.sbir.gov/about</t>
  </si>
  <si>
    <t xml:space="preserve">Phase caps rise with inflation adjustments; SBA sets the guideline ceilings. Structurally distinct from NIH/NSF single-agency SBIR rows.</t>
  </si>
  <si>
    <t xml:space="preserve">Computational Science Graduate Fellowship (CSGF)</t>
  </si>
  <si>
    <t xml:space="preserve">U.S. Department of Energy — Office of Science</t>
  </si>
  <si>
    <t xml:space="preserve">computing_math, physical_sciences, engineering</t>
  </si>
  <si>
    <t xml:space="preserve">Trains a cadre of PhD students who use high-performance computing to solve complex science and engineering problems of national importance.</t>
  </si>
  <si>
    <t xml:space="preserve">Co-funded by DOE Office of Science and the National Nuclear Security Administration (NNSA); administered by the Krell Institute (official program site). Field gate is methodological (HPC/computational science), not a disease/topic gate, so topic_restricted=false.</t>
  </si>
  <si>
    <t xml:space="preserve">$45,000/year stipend + full tuition and required fees + $1,000/year professional-development allowance</t>
  </si>
  <si>
    <t xml:space="preserve">up to 4 years (renewed annually)</t>
  </si>
  <si>
    <t xml:space="preserve">senior undergraduates, students entering graduate school, and first-year PhD students; students in their second year of graduate study or beyond are ineligible; full-time doctoral enrollment required</t>
  </si>
  <si>
    <t xml:space="preserve">no explicit prior-award disqualifier, but eligibility is limited to those at/near the start of the PhD — second-year-or-beyond graduate students are ineligible.</t>
  </si>
  <si>
    <t xml:space="preserve">Open to US citizens and lawful permanent residents; must be full-time doctoral students using/planning to use high-performance computing. Eligible entrants: senior undergraduates, master's students moving to a different institution for the PhD, employed individuals matriculating into grad school, and first-year PhD students — NOT second-year-or-beyond graduate students, nor concurrent professional-doctorate (MD/PhD, JD/PhD) students. Requires a 12-week minimum practicum at a DOE national laboratory. Stipend ($45,000/yr), full tuition/fees, and $1,000/yr allowance confirmed on the Krell/DOE program page.</t>
  </si>
  <si>
    <t xml:space="preserve">Selection on academic record, program-of-study fit with computational science, essays, and letters of reference; administered by the Krell Institute for DOE.</t>
  </si>
  <si>
    <t xml:space="preserve">https://www.krellinst.org/csgf/</t>
  </si>
  <si>
    <t xml:space="preserve">Includes required 12-week practicum at a DOE lab and an annual program review meeting. Audit: stipend/tuition/allowance and the second-year-ineligibility rule re-confirmed on the funder page.</t>
  </si>
  <si>
    <t xml:space="preserve">Early Career Research Program (ECRP)</t>
  </si>
  <si>
    <t xml:space="preserve">research_project, career_development, salary_stipend</t>
  </si>
  <si>
    <t xml:space="preserve">physical_sciences, engineering, computing_math, life_sciences</t>
  </si>
  <si>
    <t xml:space="preserve">Supports the research of outstanding scientists early in their careers to help spur the next generation of Office of Science mission research.</t>
  </si>
  <si>
    <t xml:space="preserve">Standard research grant to the PI's institution/lab (not a cooperative agreement). Dual award tiers (university vs national lab) reflect indirect-cost/overhead differences; kept as one mechanism row with both amounts noted since eligibility/career stage are identical. Award tiers and 10-yr/untenured eligibility re-confirmed on the FY2025 DOE announcement (energy.gov).</t>
  </si>
  <si>
    <t xml:space="preserve">~$875,000 total over 5 years (~$175,000/yr, university PI); ~$2,750,000 total (~$550,000/yr, DOE national lab / user-facility PI)</t>
  </si>
  <si>
    <t xml:space="preserve">within 10 years of PhD; untenured tenure-track assistant/associate professor OR full-time DOE national lab / user-facility staff</t>
  </si>
  <si>
    <t xml:space="preserve">yes: prior DOE Early Career Research Program awardees are ineligible; must be within 10 years of doctorate and untenured (or eligible DOE-lab staff).</t>
  </si>
  <si>
    <t xml:space="preserve">US academic institution (untenured tenure-track asst/assoc professor) or DOE National Laboratory/Office of Science User Facility full-time employee; apply to one of eight SC program offices (ASCR, BER, BES, FES, HEP, NP, Isotope R&amp;D, and Accelerator R&amp;D &amp; Production/ARDAP).</t>
  </si>
  <si>
    <t xml:space="preserve">highly competitive (est.)</t>
  </si>
  <si>
    <t xml:space="preserve">DOE Office of Science merit review (10 CFR 605): scientific/technical merit; appropriateness of approach; competency of personnel and adequacy of resources; reasonableness of budget; plus program policy factors (mission relevance). Mandatory pre-application then full application.</t>
  </si>
  <si>
    <t xml:space="preserve">https://science.osti.gov/early-career</t>
  </si>
  <si>
    <t xml:space="preserve">Audit: corrected 'seven' to eight participating SC program offices (added Accelerator R&amp;D &amp; Production/ARDAP) per the FY2025 announcement. Recent rounds support 80+ early-career researchers. Pre-application is mandatory and gates the full application. (FY2026 dollar total not verified this pass.)</t>
  </si>
  <si>
    <t xml:space="preserve">Energy Frontier Research Centers (EFRC)</t>
  </si>
  <si>
    <t xml:space="preserve">physical_sciences, engineering</t>
  </si>
  <si>
    <t xml:space="preserve">Brings together multidisciplinary teams to tackle the toughest scientific challenges preventing advances in energy technologies; funded by Basic Energy Sciences (BES).</t>
  </si>
  <si>
    <t xml:space="preserve">Center-scale coordinated research (research_stage=coordinated_network). Funded as financial-assistance awards to a lead institution that coordinates a multi-institution team — not an agency-steered cooperative agreement. Per-center annual amount marked est. (only the aggregate class figure is published) — this estimate is why confidence stays medium despite the mechanism being funder-page-confirmed. Many universities treat EFRC as an internally limited submission, but DOE imposes no per-institution cap, so submission_path stays individual_direct.</t>
  </si>
  <si>
    <t xml:space="preserve">~$2–4 million per year per center (est.); FY2024 (7th class) announcement was $352M across new centers</t>
  </si>
  <si>
    <t xml:space="preserve">4 years</t>
  </si>
  <si>
    <t xml:space="preserve">multi-institution teams led by a US institution or DOE national laboratory; no PI career-stage restriction</t>
  </si>
  <si>
    <t xml:space="preserve">fundamental energy science (BES priority areas: energy storage, catalysis/separations, quantum materials/QIS, solar, hydrogen, microelectronics, nuclear/subsurface science)</t>
  </si>
  <si>
    <t xml:space="preserve">no career-based exclusion; existing centers may recompete.</t>
  </si>
  <si>
    <t xml:space="preserve">Multi-institutional team of researchers led by a lead institution (universities, national labs, nonprofits, or industry). Biennial, 4-year awards; 44 active centers confirmed on the BES page.</t>
  </si>
  <si>
    <t xml:space="preserve">biennial</t>
  </si>
  <si>
    <t xml:space="preserve">DOE Office of Science merit review: scientific/technical merit and transformative potential; quality/coordination of the multidisciplinary team; appropriateness of resources and management plan; and relevance to BES energy-science mission.</t>
  </si>
  <si>
    <t xml:space="preserve">https://science.osti.gov/bes/efrc</t>
  </si>
  <si>
    <t xml:space="preserve">Biennial competitions since 2014; 44 active centers as of the 2024 (7th) class; 107 centers since 2009 inception. Cadence, duration, center count, and $352M 2024 total re-confirmed on the BES EFRC page.</t>
  </si>
  <si>
    <t xml:space="preserve">Office of Science Graduate Student Research (SCGSR) Program</t>
  </si>
  <si>
    <t xml:space="preserve">research_project, training, travel</t>
  </si>
  <si>
    <t xml:space="preserve">physical_sciences, life_sciences, computing_math, engineering</t>
  </si>
  <si>
    <t xml:space="preserve">Prepares graduate students for STEM careers by supporting thesis research at a DOE national laboratory in collaboration with a DOE laboratory scientist.</t>
  </si>
  <si>
    <t xml:space="preserve">Not a full stipend — a supplemental award covering incremental costs of a 3–12 month research appointment at a DOE lab. Classified as fellowship (individual graduate research award). Two solicitation cycles per year. Program confirmed current (2026); the $3,600/mo supplement is the established published SCGSR cap (not itemized on the current landing page).</t>
  </si>
  <si>
    <t xml:space="preserve">living-stipend supplement up to $3,600/month + up to $3,000 travel reimbursement per award</t>
  </si>
  <si>
    <t xml:space="preserve">3–12 consecutive months (research appointment at a DOE lab)</t>
  </si>
  <si>
    <t xml:space="preserve">current PhD candidate (advanced to/near candidacy) at a US institution</t>
  </si>
  <si>
    <t xml:space="preserve">no explicit prior-award disqualifier stated; must be an enrolled PhD candidate with proof of candidacy at time of appointment.</t>
  </si>
  <si>
    <t xml:space="preserve">US citizens or lawful permanent residents who are PhD candidates; must propose thesis research aligned to SC priority research areas and conducted with a DOE national-lab collaborator. Duration (3–12 months) and citizenship confirmed on the funder page.</t>
  </si>
  <si>
    <t xml:space="preserve">DOE Office of Science merit review: quality of the proposed thesis research and its alignment with SC priority research areas; benefit of the DOE-lab collaboration; and applicant qualifications.</t>
  </si>
  <si>
    <t xml:space="preserve">https://science.osti.gov/wdts/scgsr</t>
  </si>
  <si>
    <t xml:space="preserve">Two solicitation cycles per year. Supports priority research areas across six SC program offices plus Isotope R&amp;D.</t>
  </si>
  <si>
    <t xml:space="preserve">SBIR/STTR - Small Business Innovation Research / Small Business Technology Transfer (academic industry-partner path)</t>
  </si>
  <si>
    <t xml:space="preserve">U.S. federal agencies (SBIR/STTR, SBA-coordinated)</t>
  </si>
  <si>
    <t xml:space="preserve">Fund small-business-led R&amp;D with commercialization potential; STTR mandates a small business-research institution partnership.</t>
  </si>
  <si>
    <t xml:space="preserve">Included in the industry bucket as the academic-to-industry PARTNER PATH: faculty engage as the research-institution partner (STTR, &gt;=30% of work) or subcontractor (SBIR). The direct applicant/awardee is a for-profit small business; funder is FEDERAL (SBA-coordinated across 11 agencies) - the 'mixed' element. Commercialization mechanism (maps to NIH R41-R44). Structured as a grant or a contract depending on agency. AUDIT 2026-07-18: sbir.gov confirms STTR work-split and SBC ownership/size rules.</t>
  </si>
  <si>
    <t xml:space="preserve">Phase I typically up to ~$314k; Phase II up to ~$2.1M (SBA guideline amounts, adjusted annually) (est.)</t>
  </si>
  <si>
    <t xml:space="preserve">Phase I ~6-12 months; Phase II ~2 years</t>
  </si>
  <si>
    <t xml:space="preserve">Applicant is a US small business concern (&gt;50% US-owned); the academic participates as a research-institution partner/subawardee</t>
  </si>
  <si>
    <t xml:space="preserve">Applicant = for-profit small business concern (&lt;=500 employees, &gt;50% owned/controlled by US citizens or permanent residents). STTR REQUIRES a nonprofit research institution partner performing &gt;=30% of work (small business &gt;=40%); SBIR permits university subcontracting (small business must perform &gt;=2/3 of Phase I, &gt;=1/2 of Phase II). SBIR PI must be primarily employed by the small business; STTR allows the PI to sit at the research institution. Confirmed on sbir.gov (STTR RI&gt;=30%/SBC&gt;=40%; SBC &lt;=500 employees, &gt;50% US-owned; SBIR PI primary employment at the SBC). Solicitation cycles vary by agency.</t>
  </si>
  <si>
    <t xml:space="preserve">Agency-specific merit review (scientific/technical merit, qualifications, commercial potential); e.g., NIH uses its scored criteria, NSF uses Intellectual Merit + Broader Impacts.</t>
  </si>
  <si>
    <t xml:space="preserve">https://www.sbir.gov/faq/eligibility-requirements</t>
  </si>
  <si>
    <t xml:space="preserve">STTR structurally mandates university partnership; SBIR allows it. Phased: Phase I feasibility, Phase II development, Phase III commercialization (non-SBIR funds).</t>
  </si>
  <si>
    <t xml:space="preserve">AFRI Education &amp; Workforce Development — Postdoctoral Fellowships (A7201)</t>
  </si>
  <si>
    <t xml:space="preserve">USDA National Institute of Food and Agriculture (NIFA)</t>
  </si>
  <si>
    <t xml:space="preserve">salary_stipend, training, career_development, research_project</t>
  </si>
  <si>
    <t xml:space="preserve">life_sciences, social_sciences</t>
  </si>
  <si>
    <t xml:space="preserve">Develops the research independence and professional competencies of postdoctoral scholars in food and agricultural sciences.</t>
  </si>
  <si>
    <t xml:space="preserve">Fellow serves as their own Project Director. Split from predoc row on career stage, degree window, award cap, and duration (all filterable). years_since_degree_max~4 is an approximation of the sliding degree-date window (varies by cycle). Program/code A7201 confirmed current; cap and exact window live in the NOFO (not on the overview page).</t>
  </si>
  <si>
    <t xml:space="preserve">up to ~$165,000 total incl. institutional allowance (per recent NOFO; reconfirm against live NOFO)</t>
  </si>
  <si>
    <t xml:space="preserve">doctorate conferred within the cycle's eligibility window (roughly within ~4 years of the deadline); postdoctoral scholar at award</t>
  </si>
  <si>
    <t xml:space="preserve">food and agricultural sciences</t>
  </si>
  <si>
    <t xml:space="preserve">window-based: doctorate must fall within the cycle's degree-date window (approx. within ~4 years of the deadline); intended for individuals in the postdoctoral period.</t>
  </si>
  <si>
    <t xml:space="preserve">The postdoctoral scholar is the Project Director (PD). Must be a citizen, national, or permanent resident of the United States; must satisfy all doctoral requirements within the cycle-specified window and commit to 100% effort.</t>
  </si>
  <si>
    <t xml:space="preserve">NIFA peer review: scientific merit and approach; the fellow's qualifications and independence-building career plan; mentoring/evaluation plan; and relevance to program priorities.</t>
  </si>
  <si>
    <t xml:space="preserve">https://www.nifa.usda.gov/grants/programs/afri-education-workforce-development</t>
  </si>
  <si>
    <t xml:space="preserve">Program code A7201. Audit: downgraded high-&gt;medium (postdoc cap/degree-window not verifiable on the funder overview page this pass).</t>
  </si>
  <si>
    <t xml:space="preserve">AFRI Education &amp; Workforce Development — Predoctoral Fellowships (A7101)</t>
  </si>
  <si>
    <t xml:space="preserve">Develops the technical and academic competence of doctoral candidates in food and agricultural sciences, preparing the next generation of research, education, and extension professionals.</t>
  </si>
  <si>
    <t xml:space="preserve">Fellow serves as their own Project Director. Program and code A7101 confirmed current on the NIFA EWD page (updated Jan 2026); the ~$180K/3yr cap is from a NIFA EWD FAQ and lives in each cycle's NOFO (not on the overview page), so confidence set to medium pending live-NOFO reconfirmation.</t>
  </si>
  <si>
    <t xml:space="preserve">up to ~$180,000 total incl. institutional allowance (per recent NOFO; reconfirm against live NOFO)</t>
  </si>
  <si>
    <t xml:space="preserve">must have advanced to PhD candidacy (per institutional requirements) by the application deadline</t>
  </si>
  <si>
    <t xml:space="preserve">applicant must have advanced to PhD candidacy by the deadline; one active AFRI predoctoral fellowship per fellow.</t>
  </si>
  <si>
    <t xml:space="preserve">The predoctoral student is the Project Director (PD) on the grant. Must be a citizen, national, or permanent resident of the United States. Commit to 100% effort on award.</t>
  </si>
  <si>
    <t xml:space="preserve">NIFA peer review: scientific merit and rationale/approach; the fellow's qualifications and training/career-development plan; mentoring and evaluation plan; and relevance to program priorities.</t>
  </si>
  <si>
    <t xml:space="preserve">Under AFRI Education &amp; Workforce Development, 'Advancing Science' goal, program code A7101. Audit: downgraded high-&gt;medium (dollar cap not verifiable on the funder overview page this pass).</t>
  </si>
  <si>
    <t xml:space="preserve">AFRI Foundational and Applied Science Program</t>
  </si>
  <si>
    <t xml:space="preserve">research_project, training, community</t>
  </si>
  <si>
    <t xml:space="preserve">life_sciences, social_sciences, engineering</t>
  </si>
  <si>
    <t xml:space="preserve">Builds a foundation of fundamental and applied knowledge in the food and agricultural sciences critical for solving current and future societal challenges.</t>
  </si>
  <si>
    <t xml:space="preserve">NIFA (USDA) is a mission-topical funder (agriculture); classified here under federal_research per this sweep's assigned scope. FASE mechanism embeds new-investigator and strengthening set-asides within this program.</t>
  </si>
  <si>
    <t xml:space="preserve">varies widely by program area (est. ~$150,000–$1,000,000+ total; larger for coordinated/CAP grants)</t>
  </si>
  <si>
    <t xml:space="preserve">typically up to 3–5 years</t>
  </si>
  <si>
    <t xml:space="preserve">no career-stage restriction; open to eligible institutions/organizations</t>
  </si>
  <si>
    <t xml:space="preserve">food and agricultural sciences (6 priority areas: plant health/production; animal health/production; food safety/nutrition/health; bioenergy/natural resources/environment; agriculture systems &amp; technology; agricultural economics &amp; rural communities)</t>
  </si>
  <si>
    <t xml:space="preserve">no (program level); FASE new-investigator grant type has its own early-career eligibility, but the Foundational program overall has none.</t>
  </si>
  <si>
    <t xml:space="preserve">Broad institutional eligibility (universities, research foundations, etc.). Supports research-only, extension-only, education-only, and integrated projects as standard, workshop/conference, and FASE (Food and Agricultural Science Enhancement, incl. new-investigator and strengthening) grants.</t>
  </si>
  <si>
    <t xml:space="preserve">NIFA peer-panel review: scientific merit (rationale/approach); qualifications of project personnel; project management/feasibility; and relevance to the targeted program-area priority.</t>
  </si>
  <si>
    <t xml:space="preserve">https://www.nifa.usda.gov/grants/programs/afri-foundational-applied-science-program</t>
  </si>
  <si>
    <t xml:space="preserve">Award sizes/durations vary substantially by the specific program-area RFA; concrete figures live in each cycle's NOFO.</t>
  </si>
  <si>
    <t xml:space="preserve">Young Investigator Research Program (YIP)</t>
  </si>
  <si>
    <t xml:space="preserve">Air Force Office of Scientific Research (AFOSR)</t>
  </si>
  <si>
    <t xml:space="preserve">defense_security</t>
  </si>
  <si>
    <t xml:space="preserve">Foster creative basic research in science and engineering, support the early-career development of promising investigators, and connect them with Air Force and Space Force scientific challenges.</t>
  </si>
  <si>
    <t xml:space="preserve">Administered by AFOSR within the Air Force Research Laboratory. Terms ($150K/yr x 3 = $450K; PhD within 7 years; US citizen/national/PR) re-verified 2026-07 from the AFOSR YIP FOA, but the linked PDF is the October 2023 (FY24-cycle) announcement -- a dated funder snapshot rather than a current-cycle page (it anchors the 7-year window to 'no earlier than April 1, 2017'). Confidence downgraded high-&gt;medium on source currency; standing terms are stable but the current-cycle FOA should be confirmed.</t>
  </si>
  <si>
    <t xml:space="preserve">Up to $150,000 per year for 3 years ($450,000 total); exceptional cases higher.</t>
  </si>
  <si>
    <t xml:space="preserve">3 years.</t>
  </si>
  <si>
    <t xml:space="preserve">Ph.D. or equivalent degree received within the last seven years.</t>
  </si>
  <si>
    <t xml:space="preserve">No prior-funding dollar cap. Eligibility is gated by degree recency: PhD or equivalent received within the last 7 years; no disqualification based on prior award history.</t>
  </si>
  <si>
    <t xml:space="preserve">Applicant must be a US citizen, US national, or permanent resident. Exceptional proposals may receive higher funding levels and/or longer duration.</t>
  </si>
  <si>
    <t xml:space="preserve">Highly competitive; rate unspecified.</t>
  </si>
  <si>
    <t xml:space="preserve">Per the AFOSR YIP FOA: scientific/technical merit and potential to foster creative basic research relevant to Air Force/Space Force interests.</t>
  </si>
  <si>
    <t xml:space="preserve">https://afresearchlab.com/wp-content/uploads/2023/11/YIP-FINAL.pdf</t>
  </si>
  <si>
    <t xml:space="preserve">Early Career Program (ECP) Award (formerly Young Investigator Program)</t>
  </si>
  <si>
    <t xml:space="preserve">Army Research Office (ARO)</t>
  </si>
  <si>
    <t xml:space="preserve">Attract outstanding early-career university faculty to pursue fundamental research in areas relevant to the Army; one of ARO's most prestigious early-career honors.</t>
  </si>
  <si>
    <t xml:space="preserve">The current DEVCOM ARL/ARO Broad Agency Announcement lists the early-career mechanism as the Early Career Program (ECP); it is the successor to what was historically called the ARO Young Investigator Program (YIP). ECP presence on the ARL/ARO BAA (W911NF-23-S-0001) re-verified live 2026-07; amount/eligibility are set in the BAA document (the landing page confirms the mechanism but defers dollar figures to the BAA PDF).</t>
  </si>
  <si>
    <t xml:space="preserve">Up to $120,000 per year for 3 years (up to $360,000).</t>
  </si>
  <si>
    <t xml:space="preserve">Held a tenure-track position at a US institution of higher education for fewer than five years at the time of application.</t>
  </si>
  <si>
    <t xml:space="preserve">No prior-funding dollar cap. Eligibility is gated by time in a tenure-track appointment (fewer than 5 years at a US institution at the time of application), not by prior award history.</t>
  </si>
  <si>
    <t xml:space="preserve">Open to US citizens, US nationals, or Lawful Permanent Residents. Eligibility keyed to time in tenure-track (&lt;5 years), not years-since-degree.</t>
  </si>
  <si>
    <t xml:space="preserve">Per the DEVCOM ARL/ARO BAA: scientific/technical merit and potential relevance to Army fundamental-research interests.</t>
  </si>
  <si>
    <t xml:space="preserve">https://arl.devcom.army.mil/collaborate-with-us/opportunity/arl-baa/</t>
  </si>
  <si>
    <t xml:space="preserve">Mapped from the task's 'ARO Young Investigator Program' to the current ECP name.</t>
  </si>
  <si>
    <t xml:space="preserve">Single Investigator (SI) Research Grants (ARO core program)</t>
  </si>
  <si>
    <t xml:space="preserve">Fund extramural basic research by single investigators and small teams that fuels scientific discovery in areas relevant to the Army; ARO's most common award type.</t>
  </si>
  <si>
    <t xml:space="preserve">ARO is the extramural basic-research arm of DEVCOM Army Research Laboratory. Core mechanism under the standing ARL BAA (W911NF-23-S-0001, re-verified live 2026-07); white papers accepted on a rolling basis. Dollar level marked estimate (not stated on the BAA landing page).</t>
  </si>
  <si>
    <t xml:space="preserve">Standard 3-year budget supporting a PI plus one or two graduate students or a postdoc (incl. F&amp;A); specific dollar level unspecified (commonly ~$120k-$180k/yr, est.).</t>
  </si>
  <si>
    <t xml:space="preserve">3 years (standard); other durations possible.</t>
  </si>
  <si>
    <t xml:space="preserve">No career-stage restriction; proposals submitted through the PI's institution (predominantly US academic institutions).</t>
  </si>
  <si>
    <t xml:space="preserve">No explicit PI citizenship requirement stated for SI awards (contrasts with the ECP, which requires US citizen/national/LPR). Open to universities, non-profits and industry.</t>
  </si>
  <si>
    <t xml:space="preserve">Competitive; rate unspecified.</t>
  </si>
  <si>
    <t xml:space="preserve">Per the DEVCOM ARL/ARO BAA: scientific/technical merit and potential relevance to Army research interests; white paper then full proposal.</t>
  </si>
  <si>
    <t xml:space="preserve">Breast Cancer Research Program (BCRP)</t>
  </si>
  <si>
    <t xml:space="preserve">Congressionally Directed Medical Research Programs (CDMRP)</t>
  </si>
  <si>
    <t xml:space="preserve">Congressionally directed DoD program funding innovative, high-impact breast cancer research toward ending breast cancer.</t>
  </si>
  <si>
    <t xml:space="preserve">Administered by CDMRP (DoD; USAMRAA / Defense Health Agency structure). Award mechanisms change annually; FY26 (re-verified live 2026-07) includes Breakthrough Award Levels 3-4, Era of Hope Scholar, and Transformative Breast Cancer Consortium (Award and Development) awards. No citizenship requirement confirmed on the funder page.</t>
  </si>
  <si>
    <t xml:space="preserve">Mechanism-dependent, from hundreds of thousands to several million dollars (e.g., Era of Hope Scholar; Breakthrough Award Levels 1-4).</t>
  </si>
  <si>
    <t xml:space="preserve">Varies by mechanism (commonly 2-5 years).</t>
  </si>
  <si>
    <t xml:space="preserve">Program-level: multiple award mechanisms spanning career stages (e.g., Era of Hope Scholar targets early-career independent investigators; Breakthrough Awards span levels).</t>
  </si>
  <si>
    <t xml:space="preserve">Breast cancer.</t>
  </si>
  <si>
    <t xml:space="preserve">varies by mechanism</t>
  </si>
  <si>
    <t xml:space="preserve">No US citizenship requirement (PIs eligible regardless of nationality/citizenship); US and foreign, for-profit and non-profit organizations eligible. Some mechanisms are invitation- or LOI-gated.</t>
  </si>
  <si>
    <t xml:space="preserve">Two-tier CDMRP review: scientific peer review (scientific merit, innovation, impact/feasibility) followed by programmatic review for portfolio fit and mission relevance.</t>
  </si>
  <si>
    <t xml:space="preserve">https://cdmrp.health.mil/funding/bcrp</t>
  </si>
  <si>
    <t xml:space="preserve">CDMRP Early Investigator Research Award &amp; Career Development Award (career-stage mechanisms)</t>
  </si>
  <si>
    <t xml:space="preserve">postdoc, transition, early_career_faculty, physician_scientist</t>
  </si>
  <si>
    <t xml:space="preserve">career_development, research_project, training</t>
  </si>
  <si>
    <t xml:space="preserve">Support early-career investigators (and clinician-scientists) transitioning toward research independence within CDMRP's congressionally directed disease programs, with structured mentorship.</t>
  </si>
  <si>
    <t xml:space="preserve">Combined row representing the career-stage mechanism family that recurs across CDMRP disease programs. Anchored on the FY26 PCRP Early Investigator Research Award program announcement (funder PA HT942526PCRPEIRA, re-verified live 2026-07: $630K total / 3 years, &lt;=3 yrs postdoc research experience, mentor required, no citizenship restriction, no prior-federal-funding dollar exclusion). The analogous 'Career Development Award' appears in other CDMRP programs and is corroborated at program level, hence medium confidence for the combined row.</t>
  </si>
  <si>
    <t xml:space="preserve">PCRP FY26 Early Investigator Research Award: up to $630,000 total costs / 3 years. Career Development Awards in other CDMRP programs vary.</t>
  </si>
  <si>
    <t xml:space="preserve">Up to 3 years.</t>
  </si>
  <si>
    <t xml:space="preserve">Early Investigator Research Award (PCRP FY26 exemplar): doctoral degree with three years or less of postdoctoral research experience as of the submission deadline, mentor required. Career Development Awards (other CDMRP programs): early-career independent/transition faculty or clinician-scientists (varies by program).</t>
  </si>
  <si>
    <t xml:space="preserve">Disease/topic is set by the parent CDMRP program (e.g., prostate cancer for the PCRP Early Investigator Research Award).</t>
  </si>
  <si>
    <t xml:space="preserve">No prior-federal-funding dollar exclusion. The Early Investigator Research Award gate is &lt;=3 years of postdoctoral research experience at the application deadline; carve-out: clinical residency/fellowship not primarily research-focused does not count toward that 3-year threshold. Program rules additionally bar duplicate submission of essentially the same project within the program/fiscal year and naming a PI on more than one EIRA application per cycle (only the first is accepted). Verified from the FY26 PCRP EIRA program announcement (HT942526PCRPEIRA). Analogous Career Development Awards in other CDMRP programs set their own transition/independence gates.</t>
  </si>
  <si>
    <t xml:space="preserve">No US citizenship requirement (eligible regardless of ethnicity, nationality or citizenship status, confirmed on the FY26 PCRP EIRA PA). Early Investigator Research Award requires at least one qualified mentor with relevant research and mentoring track record; a clinical residency or clinical fellowship that is not primarily research-focused does NOT count toward the 3-year postdoctoral threshold. Mentored/transition-oriented.</t>
  </si>
  <si>
    <t xml:space="preserve">Two-tier CDMRP review: scientific peer review (including quality of the training/mentoring plan and candidate potential) then programmatic review.</t>
  </si>
  <si>
    <t xml:space="preserve">https://cdmrp.health.mil/funding/pa/HT942526PCRPEIRA_GG.pdf</t>
  </si>
  <si>
    <t xml:space="preserve">Represents CDMRP's Early Investigator / Career Development career-stage award types. prior_funding_exclusion rewritten from a bare descriptor to the actual FY26 PCRP EIRA PA terms.</t>
  </si>
  <si>
    <t xml:space="preserve">Peer Reviewed Medical Research Program (PRMRP)</t>
  </si>
  <si>
    <t xml:space="preserve">Congressionally directed DoD program funding research across a defined list of congressionally designated medical Topic Areas relevant to service members, veterans, and the public.</t>
  </si>
  <si>
    <t xml:space="preserve">CDMRP program whose scope is set annually by Congress via a list of Topic Areas; applicants must map to a listed condition. Funder page re-verified live 2026-07 (FY26 mechanisms include Clinical Trial, Platform Clinical Translation, Impact, Lifestyle and Applied Health Research, Technology/Therapeutic Development, plus Research Advancement and Discovery). Specific example conditions marked illustrative because the designated list changes each fiscal year.</t>
  </si>
  <si>
    <t xml:space="preserve">Varies by mechanism (Discovery, Investigator-Initiated/Impact, Clinical Trial, Technology/Therapeutic Development, etc.).</t>
  </si>
  <si>
    <t xml:space="preserve">Varies by mechanism.</t>
  </si>
  <si>
    <t xml:space="preserve">Program-level: mechanisms span Discovery through Clinical Trial; investigators at all career levels eligible (e.g., Discovery Award has no career-stage restriction).</t>
  </si>
  <si>
    <t xml:space="preserve">Congressionally designated PRMRP Topic Areas -- a list of eligible medical conditions set annually by Congress (illustrative past examples include PTSD, tuberculosis, endometriosis, sleep disorders and interstitial cystitis); applicants must map to a currently listed Topic Area for the fiscal year.</t>
  </si>
  <si>
    <t xml:space="preserve">No US citizenship requirement (PIs eligible regardless of nationality); US and foreign, for-profit/non-profit organizations eligible. Research must address a congressionally designated PRMRP Topic Area.</t>
  </si>
  <si>
    <t xml:space="preserve">Two-tier CDMRP review: scientific peer review then programmatic review; applications must address a designated Topic Area.</t>
  </si>
  <si>
    <t xml:space="preserve">https://cdmrp.health.mil/funding/prmrp</t>
  </si>
  <si>
    <t xml:space="preserve">Prostate Cancer Research Program (PCRP)</t>
  </si>
  <si>
    <t xml:space="preserve">Congressionally directed DoD program funding impactful prostate cancer research spanning discovery through translation and clinical application.</t>
  </si>
  <si>
    <t xml:space="preserve">CDMRP disease program (DoD). FY26 offers four award mechanisms (Data Science, Early Investigator Research, Idea Development, Physician Research), re-verified live 2026-07 on the funder page.</t>
  </si>
  <si>
    <t xml:space="preserve">Varies by mechanism (e.g., Early Investigator Research Award up to $630k/3yr; Idea Development, Data Science, Physician Research Awards differ).</t>
  </si>
  <si>
    <t xml:space="preserve">Varies by mechanism (commonly up to 3 years).</t>
  </si>
  <si>
    <t xml:space="preserve">Program-level: FY26 mechanisms are Data Science, Early Investigator Research, Idea Development, and Physician Research Awards, spanning early-career to established investigators.</t>
  </si>
  <si>
    <t xml:space="preserve">Prostate cancer.</t>
  </si>
  <si>
    <t xml:space="preserve">No US citizenship requirement (open regardless of nationality). LOI/pre-application required. See separate CDMRP career-stage row for the Early Investigator Research Award specifics.</t>
  </si>
  <si>
    <t xml:space="preserve">Two-tier CDMRP review: scientific peer review (merit, innovation, impact/feasibility) then programmatic review for portfolio fit.</t>
  </si>
  <si>
    <t xml:space="preserve">https://cdmrp.health.mil/funding/pcrp</t>
  </si>
  <si>
    <t xml:space="preserve">DARPA Broad Agency Announcement (BAA) research programs</t>
  </si>
  <si>
    <t xml:space="preserve">Defense Advanced Research Projects Agency (DARPA)</t>
  </si>
  <si>
    <t xml:space="preserve">contract</t>
  </si>
  <si>
    <t xml:space="preserve">Fund revolutionary, high-risk/high-payoff research and technology to create or prevent strategic surprise for US national security; programs are milestone-driven with a transition focus.</t>
  </si>
  <si>
    <t xml:space="preserve">Guidance row (not a single standing individual-PI mechanism). Most DARPA funding flows through program-specific BAAs awarding procurement contracts, cooperative agreements, grants, or Other Transaction agreements; awards are milestone/phase-structured and managed by rotating program managers. The standing academic YFA program is captured in separate rows. Source PDF (DARPA Guide to Broad Agency Announcements and Research Announcements) re-verified live 2026-07 as DARPA-authored guidance.</t>
  </si>
  <si>
    <t xml:space="preserve">Varies widely by program and phase (from ~$1M to tens of millions).</t>
  </si>
  <si>
    <t xml:space="preserve">Program-specific; typically multi-year with phases/options and go/no-go milestones.</t>
  </si>
  <si>
    <t xml:space="preserve">Open to universities, industry, non-profits and (per BAA) FFRDCs/government labs; eligibility and any citizenship/export-control constraints vary by individual BAA.</t>
  </si>
  <si>
    <t xml:space="preserve">Program-specific technical challenges announced per BAA.</t>
  </si>
  <si>
    <t xml:space="preserve">Performer eligibility is set per program BAA; many awards involve export-controlled or US-performer constraints.</t>
  </si>
  <si>
    <t xml:space="preserve">Program-dependent; unspecified.</t>
  </si>
  <si>
    <t xml:space="preserve">Set per BAA; typically overall scientific/technical merit, potential contribution/relevance to the DARPA mission, and cost realism.</t>
  </si>
  <si>
    <t xml:space="preserve">https://www.darpa.mil/sites/default/files/attachment/2024-12/darpa-guide-broad-agency-announcements-research-announcements.pdf</t>
  </si>
  <si>
    <t xml:space="preserve">Captured to represent that the bulk of DARPA funding is BAA-driven contracts/agreements rather than open standing grant programs.</t>
  </si>
  <si>
    <t xml:space="preserve">YFA Director's Fellowship</t>
  </si>
  <si>
    <t xml:space="preserve">engineering, physical_sciences, computing_math, life_sciences</t>
  </si>
  <si>
    <t xml:space="preserve">Provide a third year of funding to top-performing Young Faculty Award recipients so they can build on the success of their initial work, further develop their research, and continue their collaboration with DARPA.</t>
  </si>
  <si>
    <t xml:space="preserve">Not an independent solicitation; a competitive extension option within the standing YFA program. Split from the YFA row because eligibility (must be a selected YFA performer), amount, duration and purpose differ. Specifics (7 of the 2024 YFA class; up to $500K; a third/12-month year) re-verified 2026-07 on the DARPA '20 years of Young Faculty Awards' news page.</t>
  </si>
  <si>
    <t xml:space="preserve">Up to $500,000.</t>
  </si>
  <si>
    <t xml:space="preserve">12 months (third year extending the YFA).</t>
  </si>
  <si>
    <t xml:space="preserve">Current YFA awardees competitively selected for exceptional performance on their initial project objectives (7 performers selected from the 2024 YFA class).</t>
  </si>
  <si>
    <t xml:space="preserve">Continuation of the awardee's original YFA research.</t>
  </si>
  <si>
    <t xml:space="preserve">by_invitation</t>
  </si>
  <si>
    <t xml:space="preserve">n/a: requires an active/prior YFA award (this is a follow-on extension).</t>
  </si>
  <si>
    <t xml:space="preserve">Restricted to existing YFA performers; not an independently applied-for award. Same US-institution and nationality conditions as the base YFA.</t>
  </si>
  <si>
    <t xml:space="preserve">Very selective (only a subset of each YFA class is chosen).</t>
  </si>
  <si>
    <t xml:space="preserve">Selection based on demonstrated exceptional performance against the initial YFA objectives and potential to build on that work with DARPA.</t>
  </si>
  <si>
    <t xml:space="preserve">https://www.darpa.mil/news/2026/darpa-celebrates-20-years-young-faculty-awards</t>
  </si>
  <si>
    <t xml:space="preserve">DARPA selected 7 of the 2024 YFA class for the Director's Fellowship, celebrating 20 years of YFA.</t>
  </si>
  <si>
    <t xml:space="preserve">Young Faculty Award (YFA)</t>
  </si>
  <si>
    <t xml:space="preserve">Identify and engage rising research stars in junior faculty positions at US academic and non-profit institutions, expose them to national security needs and DARPA's program-development process, and develop the next generation of researchers focused on national security.</t>
  </si>
  <si>
    <t xml:space="preserve">Awards made as grants/cooperative agreements to universities and non-profits. Eligibility is rank-based rather than strictly years-since-degree; the non-profit path uses a 12-year-since-doctorate cap. Source URL re-verified live 2026-07 as the current YFA page (the newer /research/programs/young-faculty-award path 404s); award dollars and prior-funding caps are set by the annual RA rather than the overview page.</t>
  </si>
  <si>
    <t xml:space="preserve">Up to $500,000 base (24 mo); up to $1,350,000 total including the Director's Fellowship option (+$500k/12 mo) and a US-person graduate-student option (+$350k).</t>
  </si>
  <si>
    <t xml:space="preserve">24 months base (up to 36 months with Director's Fellowship).</t>
  </si>
  <si>
    <t xml:space="preserve">Tenure-track assistant/associate professors (any duration), tenured faculty within 3 years of tenure, or non-profit equivalent continuing appointments within 12 years of doctorate.</t>
  </si>
  <si>
    <t xml:space="preserve">Annually announced technical research topics spanning DARPA technical offices (national-security relevant).</t>
  </si>
  <si>
    <t xml:space="preserve">Per the YFA objective the program targets rising junior faculty without prior DARPA funding; the annual Research Announcement (FY26 cycle: DARPARA2502) sets the specific caps on allowable prior funding (historically on the order of ~$500K received from DARPA and ~$1.25M cumulative across all DoD sources as PI). Exact thresholds are RA-specific and should be confirmed against the current announcement rather than treated as fixed.</t>
  </si>
  <si>
    <t xml:space="preserve">Must be employed at a US institution (federal labs, UARCs, and government entities are ineligible). US citizens, US permanent residents and foreign nationals may participate; nationals of China, Cuba, Russia, Iran, Venezuela and North Korea are restricted unless dual US citizens/PRs or actively seeking PR.</t>
  </si>
  <si>
    <t xml:space="preserve">Highly competitive; selectivity rate unspecified.</t>
  </si>
  <si>
    <t xml:space="preserve">Evaluated per the YFA research announcement: overall scientific/technical merit; potential contribution to DARPA's mission and national security; and cost realism.</t>
  </si>
  <si>
    <t xml:space="preserve">https://www.darpa.mil/work-with-us/for-universities/young-faculty-award</t>
  </si>
  <si>
    <t xml:space="preserve">The Director's Fellowship (captured as a separate row) is a competitive follow-on option within the YFA program; a 2026 enhancement adds an option to fund a US-person graduate student (up to $350k).</t>
  </si>
  <si>
    <t xml:space="preserve">Fundamental Research to Counter Weapons of Mass Destruction (FRCWMD) - DTRA Basic Research</t>
  </si>
  <si>
    <t xml:space="preserve">Defense Threat Reduction Agency (DTRA)</t>
  </si>
  <si>
    <t xml:space="preserve">physical_sciences, life_sciences, biomedical_health, engineering</t>
  </si>
  <si>
    <t xml:space="preserve">Fund fundamental/basic research to discover new science and technologies that counter chemical, biological, radiological and nuclear (weapons of mass destruction) threats.</t>
  </si>
  <si>
    <t xml:space="preserve">DTRA's basic research (6.1) flows through the Fundamental Research to Counter WMD (FRCWMD) Broad Agency Announcement, a long-standing BAA with periodic thrust-area calls; also funds university research alliances. The cited dtra.mil/Research.aspx overview loads (re-verified live 2026-07) but does not itself enumerate FRCWMD terms, eligibility or award sizes, so coverage reclassified enumerated-&gt;guidance and confidence held at medium; FRCWMD-specific solicitations post on grants.gov/SAM.gov.</t>
  </si>
  <si>
    <t xml:space="preserve">Varies by thrust and award type (grants and contracts, multi-year); specific levels unspecified.</t>
  </si>
  <si>
    <t xml:space="preserve">Multi-year (varies).</t>
  </si>
  <si>
    <t xml:space="preserve">Open to academia, industry and government labs; participation in some WMD-sensitive/export-controlled areas may be restricted.</t>
  </si>
  <si>
    <t xml:space="preserve">Countering weapons of mass destruction (chemical, biological, radiological, nuclear / CBRN) science and technology.</t>
  </si>
  <si>
    <t xml:space="preserve">Uses grants and contracts; also supports multi-university research alliances/consortia. No blanket PI citizenship gate stated, but WMD sensitivity/export control can constrain foreign participation.</t>
  </si>
  <si>
    <t xml:space="preserve">Per the FRCWMD BAA: scientific/technical merit and relevance to countering WMD threats; white paper then full proposal.</t>
  </si>
  <si>
    <t xml:space="preserve">https://www.dtra.mil/Research.aspx</t>
  </si>
  <si>
    <t xml:space="preserve">IARPA Research Programs (BAA-driven contracts)</t>
  </si>
  <si>
    <t xml:space="preserve">Intelligence Advanced Research Projects Activity (IARPA)</t>
  </si>
  <si>
    <t xml:space="preserve">computing_math, physical_sciences, engineering, social_sciences</t>
  </si>
  <si>
    <t xml:space="preserve">Invest in high-risk, high-payoff research to tackle the most difficult challenges facing the US Intelligence Community; programs are milestone-driven and metric-focused with defined test-and-evaluation.</t>
  </si>
  <si>
    <t xml:space="preserve">Guidance row (portfolio of contract-based programs, not a standing individual-PI grant). IARPA funds via program-specific BAAs awarding milestone-driven R&amp;D contracts; teams drawn from industry, academia and non-profits. The open-BAAs page and the IDEAS submission portal are the funder's standing entry points (re-verified live 2026-07); whether any BAA is currently open fluctuates cycle to cycle, so no fixed open/closed state is asserted here.</t>
  </si>
  <si>
    <t xml:space="preserve">Program- and phase-specific; varies widely (multi-year, often multi-team R&amp;D contracts).</t>
  </si>
  <si>
    <t xml:space="preserve">Multi-year, phased with milestone/go-no-go structure.</t>
  </si>
  <si>
    <t xml:space="preserve">Open to performers from government, the private sector, academia and the broader scientific community; specifics set per program BAA.</t>
  </si>
  <si>
    <t xml:space="preserve">Program-specific intelligence-relevant technical challenges announced per BAA.</t>
  </si>
  <si>
    <t xml:space="preserve">Eligibility/security constraints vary by program; unclassified proposals submitted through IARPA's IDEAS system.</t>
  </si>
  <si>
    <t xml:space="preserve">Set per BAA; typically scientific/technical merit against measurable program metrics and relevance to the Intelligence Community.</t>
  </si>
  <si>
    <t xml:space="preserve">https://www.iarpa.gov/engage-with-us/open-baas</t>
  </si>
  <si>
    <t xml:space="preserve">Young Investigator Program (YIP)</t>
  </si>
  <si>
    <t xml:space="preserve">Office of Naval Research (ONR)</t>
  </si>
  <si>
    <t xml:space="preserve">Attract outstanding early-career academic scientists and engineers showing exceptional promise for creative research, support their development, and engage them in Naval science and technology.</t>
  </si>
  <si>
    <t xml:space="preserve">Broad naval-relevant S&amp;T scope; funds salary, students, supplies, travel and indirect costs. Amount ($750K over 36 months), the 7-year PhD window, first/second tenure-track requirement, and US citizen/national/PR gate re-verified 2026-07 on the ONR YIP page.</t>
  </si>
  <si>
    <t xml:space="preserve">~$750,000 total (up to $250,000/year).</t>
  </si>
  <si>
    <t xml:space="preserve">36 months.</t>
  </si>
  <si>
    <t xml:space="preserve">In first or second full-time tenure-track (or tenure-track-equivalent) appointment AND received doctorate within the past seven years.</t>
  </si>
  <si>
    <t xml:space="preserve">No prior-funding dollar cap. Eligibility is gated purely by career stage: doctorate within the past 7 years AND holding a first or second full-time tenure-track (or equivalent) appointment at the proposal deadline; there is no disqualification based on prior federal award history.</t>
  </si>
  <si>
    <t xml:space="preserve">US citizen, US national, or permanent resident required at the proposal deadline; must be at a US institution of higher education (or eligible US non-profit).</t>
  </si>
  <si>
    <t xml:space="preserve">Per ONR YIP BAA: overall scientific/technical merit, qualifications of the PI, and potential relevance/contribution to Navy and Marine Corps needs.</t>
  </si>
  <si>
    <t xml:space="preserve">https://www.onr.navy.mil/education-outreach/sponsored-research/yip</t>
  </si>
  <si>
    <t xml:space="preserve">Multidisciplinary University Research Initiative (MURI)</t>
  </si>
  <si>
    <t xml:space="preserve">U.S. Department of Defense (cross-service)</t>
  </si>
  <si>
    <t xml:space="preserve">Support teams of researchers investigating high-priority basic-research topics that intersect more than one traditional technical discipline, to accelerate progress and expedite transition into defense applications.</t>
  </si>
  <si>
    <t xml:space="preserve">Joint DoD program administered by ONR, ARO and AFOSR; topics and lead agency rotate annually. Large multidisciplinary team grant. Award band (~$0.5M-$1M/yr), the 3-year base + 2-year option structure, and the US degree-granting institution requirement re-verified 2026-07 on the ONR MURI page. Per-award total marked estimate. Bucketed under 'U.S. Department of Defense (cross-service)' for perFunderCounts.</t>
  </si>
  <si>
    <t xml:space="preserve">~$0.5M-$1M+ per year per award (per ONR; varies by topic/agency); commonly ~$1.25M-$1.5M/yr (est.). Total up to ~$6.25M over 5 years (est.).</t>
  </si>
  <si>
    <t xml:space="preserve">3 years base plus up to a 2-year option (up to 5 years).</t>
  </si>
  <si>
    <t xml:space="preserve">US institutions of higher education with science/engineering degree programs (or consortia of such institutions); one lead academic awardee.</t>
  </si>
  <si>
    <t xml:space="preserve">Annually announced multidisciplinary research topics set by ONR/ARO/AFOSR.</t>
  </si>
  <si>
    <t xml:space="preserve">No explicit PI citizenship requirement, but a US degree-granting institution must lead. Multi-investigator, often multi-institution teams.</t>
  </si>
  <si>
    <t xml:space="preserve">Per the DoD MURI BAA: scientific/technical merit, degree to which the team advances the multidisciplinary topic, and potential impact/relevance to DoD; two-stage white paper then invited full proposal.</t>
  </si>
  <si>
    <t xml:space="preserve">https://www.onr.navy.mil/education-outreach/sponsored-research/university-research-initiatives/muri</t>
  </si>
  <si>
    <t xml:space="preserve">Domain-agnostic across cycles but each year's topics are specific (topic_restricted = true).</t>
  </si>
  <si>
    <t xml:space="preserve">National Defense Science and Engineering Graduate (NDSEG) Fellowship</t>
  </si>
  <si>
    <t xml:space="preserve">Support US graduate students pursuing doctoral degrees in STEM disciplines of importance to the DoD; a joint Army/Navy/Air Force fellowship.</t>
  </si>
  <si>
    <t xml:space="preserve">Joint DoD program of the Army (ARO), Navy (ONR) and Air Force (AFOSR). citizenship_residency mapped to citizen_national_pr_required as the closest 'US-person' enum, but the schema value OVERSTATES eligibility: PRs are excluded (citizens/nationals only), confirmed 2026-07 on the ONR NDSEG page. 36-month tenure and full tuition + stipend confirmed; stipend marked est. (funder page defers exact levels to the annual announcement). Bucketed under 'U.S. Department of Defense (cross-service)' for perFunderCounts.</t>
  </si>
  <si>
    <t xml:space="preserve">Full tuition and required fees; monthly stipend (~$3,200-$3,400/mo, ~$41k/yr, est.); plus a health-insurance allowance.</t>
  </si>
  <si>
    <t xml:space="preserve">36 months (3 years).</t>
  </si>
  <si>
    <t xml:space="preserve">Early-stage PhD students (at or near the start of graduate study; not beyond ~two years into a traditional PhD) in DoD-relevant STEM fields.</t>
  </si>
  <si>
    <t xml:space="preserve">No prior-award exclusion (previously having held another fellowship does not disqualify an applicant); however, an NDSEG Fellow may NOT accept simultaneous remuneration from another fellowship - if offered both NDSEG and another fellowship (e.g., NSF GRFP), the awardee must choose one and cannot hold them concurrently.</t>
  </si>
  <si>
    <t xml:space="preserve">US CITIZENS OR US NATIONALS ONLY - permanent residents are NOT eligible (stricter than the DoD S&amp;T faculty awards, which allow PRs); re-verified on the funder page 2026-07. Dual citizens eligible. Supported STEM disciplines are a defined list. No service obligation.</t>
  </si>
  <si>
    <t xml:space="preserve">Merit-based selection on academic achievement/record, research potential, and recommendations.</t>
  </si>
  <si>
    <t xml:space="preserve">https://www.onr.navy.mil/education-outreach/undergraduate-graduate/ndseg-graduate-fellowship</t>
  </si>
  <si>
    <t xml:space="preserve">Bucketed under 'U.S. Department of Defense (cross-service)' for perFunderCounts. | prior-funding verified 2026-07-18: no prior-award bar, but cannot hold concurrent fellowship remuneration (must choose between NDSEG and e.g. NSF GRFP).</t>
  </si>
  <si>
    <t xml:space="preserve">Presidential Early Career Award for Scientists and Engineers (PECASE)</t>
  </si>
  <si>
    <t xml:space="preserve">prize</t>
  </si>
  <si>
    <t xml:space="preserve">career_development</t>
  </si>
  <si>
    <t xml:space="preserve">The highest honor bestowed by the US Government on outstanding scientists and engineers beginning their independent research careers and showing exceptional promise for leadership in science and technology.</t>
  </si>
  <si>
    <t xml:space="preserve">Cross-DoD (and government-wide) recognition, not a standalone funding solicitation. PECASE is coordinated by White House OSTP across many federal agencies; DoD channels nominations through ONR, ARO, AFOSR and DARPA. It has no single standing solicitation page, so source_url is a representative ONR news release documenting DoD/ONR PECASE honorees (re-verified live 2026-07). Bucketed under 'U.S. Department of Defense (cross-service)'. Confidence medium given it is a recognition without a standing funder program page.</t>
  </si>
  <si>
    <t xml:space="preserve">Recognition/honor; any associated research funding is provided through the nominating agency's underlying award (e.g., ONR YIP / ARO ECP).</t>
  </si>
  <si>
    <t xml:space="preserve">One-time honor.</t>
  </si>
  <si>
    <t xml:space="preserve">Early-career researchers nominated from among a federal agency's own S&amp;T awardees; no direct application.</t>
  </si>
  <si>
    <t xml:space="preserve">DoD nominees are drawn from DoD S&amp;T awardees (e.g., ONR YIP, ARO ECP, AFOSR YIP, DARPA YFA recipients), who are US persons (citizen/national/PR). Finalized by White House OSTP.</t>
  </si>
  <si>
    <t xml:space="preserve">Extremely selective (nomination-only, government-wide).</t>
  </si>
  <si>
    <t xml:space="preserve">Selection based on pursuit of innovative research at the frontiers of S&amp;T and commitment to community service; agencies nominate, OSTP/the President confer.</t>
  </si>
  <si>
    <t xml:space="preserve">https://www.onr.navy.mil/media-center/news-releases/onr-funded-young-innovators-recognized-president</t>
  </si>
  <si>
    <t xml:space="preserve">A prize/recognition, not an applied-for grant; research funds flow through the nominating award.</t>
  </si>
  <si>
    <t xml:space="preserve">Vannevar Bush Faculty Fellowship (VBFF)</t>
  </si>
  <si>
    <t xml:space="preserve">Support the nation's most distinguished faculty in pursuing high-risk, transformative 'blue sky' basic research of interest to the DoD.</t>
  </si>
  <si>
    <t xml:space="preserve">Single-PI fellowship administered via ONR for the Office of the Under Secretary of Defense for Research &amp; Engineering (Basic Research). Formerly the National Security Science and Engineering Faculty Fellowship (NSSEFF); renamed in 2016 to honor Vannevar Bush. Amount (up to $3M over 5 years) re-verified 2026-07 on the basicresearch.defense.gov VBFF page. Bucketed under 'U.S. Department of Defense (cross-service)'.</t>
  </si>
  <si>
    <t xml:space="preserve">Up to $3,000,000 over 5 years (up to ~$600,000/year).</t>
  </si>
  <si>
    <t xml:space="preserve">5 years.</t>
  </si>
  <si>
    <t xml:space="preserve">Tenured or tenure-track faculty at US doctoral-granting institutions; program aimed at distinguished/established (often senior) researchers.</t>
  </si>
  <si>
    <t xml:space="preserve">DoD-relevant basic-research topic areas announced per cycle.</t>
  </si>
  <si>
    <t xml:space="preserve">US citizen or permanent resident. Two-stage: open white paper then invited full proposal; a PI may submit only one application (institutions may submit unlimited white papers, so this is not a limited-submission nomination cap).</t>
  </si>
  <si>
    <t xml:space="preserve">Extremely selective (small annual class of distinguished fellows).</t>
  </si>
  <si>
    <t xml:space="preserve">Scientific excellence, creativity, and potential for transformative/revolutionary impact on DoD-relevant basic research.</t>
  </si>
  <si>
    <t xml:space="preserve">https://basicresearch.defense.gov/Programs/Vannevar-Bush-Faculty-Fellowship/</t>
  </si>
  <si>
    <t xml:space="preserve">Task's 'senior' framing reflected in career_stage; eligibility formally allows tenured or tenure-track faculty.</t>
  </si>
  <si>
    <t xml:space="preserve">AHRQ Health Services Research Projects (R01)</t>
  </si>
  <si>
    <t xml:space="preserve">Agency for Healthcare Research and Quality (AHRQ), U.S. Department of Health and Human Services</t>
  </si>
  <si>
    <t xml:space="preserve">mission_applied</t>
  </si>
  <si>
    <t xml:space="preserve">biomedical_health, social_sciences</t>
  </si>
  <si>
    <t xml:space="preserve">Fund investigator-initiated research to improve the quality, safety, efficiency, equity, and effectiveness of U.S. health care.</t>
  </si>
  <si>
    <t xml:space="preserve">Standing parent R01 mechanism (multiple standard due dates per year -&gt; application_cadence=rolling/standing). Variants collapsed/noted: R18 Demonstration &amp; Dissemination; R03 Small Research Grant; plus AHRQ K and T/F awards. Review-criteria mapping to the NIH three-factor framework is unconfirmed on the funder page (hence confidence=medium).</t>
  </si>
  <si>
    <t xml:space="preserve">Varies by NOFO (large investigator-initiated project grant; AHRQ budgets typically capped below NIH levels — verify current NOFO)</t>
  </si>
  <si>
    <t xml:space="preserve">Up to ~3-5 years (per NOFO)</t>
  </si>
  <si>
    <t xml:space="preserve">health services research — healthcare quality, patient safety, delivery/practice improvement, access, cost, and whole-person care</t>
  </si>
  <si>
    <t xml:space="preserve">no (investigator-initiated R01; not an early-career-restricted mechanism)</t>
  </si>
  <si>
    <t xml:space="preserve">Domestic (U.S.) public/private higher-education, nonprofit, and other eligible organizations; foreign institutions generally ineligible for AHRQ. Investigator-initiated health services research committed to improving healthcare quality, safety, and equity.</t>
  </si>
  <si>
    <t xml:space="preserve">Competitive; payline varies by year (unspecified)</t>
  </si>
  <si>
    <t xml:space="preserve">AHRQ peer review (using the NIH/CSR review infrastructure): significance and impact on healthcare quality/safety/effectiveness, approach/methodology and feasibility, investigators, innovation, and environment; plus relevance to AHRQ's mission. NOTE: AHRQ borrows NIH review infrastructure but the NIH-specific 'simplified three-factor' framework (Importance; Rigor &amp; Feasibility; Expertise &amp; Resources) is not confirmed as adopted verbatim by AHRQ — verify the current NOFO.</t>
  </si>
  <si>
    <t xml:space="preserve">https://www.ahrq.gov/news/research-funding-opportunities.html</t>
  </si>
  <si>
    <t xml:space="preserve">Verified 2026: AHRQ's funding page currently lists 'AHRQ Health Services Research Projects (R01)' plus related R01s (e.g., Research to Advance the Science of Primary Care); no agency-elimination/suspension notice on the page. AHRQ = mission-applied health-services research, distinct from NIH biomedical science funding.</t>
  </si>
  <si>
    <t xml:space="preserve">National Leadership Grants (for Museums; parallel Libraries program noted)</t>
  </si>
  <si>
    <t xml:space="preserve">Institute of Museum and Library Services (IMLS)</t>
  </si>
  <si>
    <t xml:space="preserve">research_project, community, training</t>
  </si>
  <si>
    <t xml:space="preserve">humanities, social_sciences</t>
  </si>
  <si>
    <t xml:space="preserve">Support projects that address critical needs of the museum and library fields and develop model practices, tools, research findings, and collaborations of national impact.</t>
  </si>
  <si>
    <t xml:space="preserve">institution_type_restriction=other (museum/library sector: museums, libraries, and their nonprofit service organizations). Two parallel standing programs (National Leadership Grants for Museums and for Libraries) differ chiefly in eligible applicant type; collapsed to one row (Libraries variant noted). Funds applied research + national field-capacity building -&gt; research_stage=infrastructure_resource.</t>
  </si>
  <si>
    <t xml:space="preserve">$50,000-$750,000; requires 1:1 non-federal cost share (funds equal to or greater than the federal request)</t>
  </si>
  <si>
    <t xml:space="preserve">1-3 years</t>
  </si>
  <si>
    <t xml:space="preserve">advancing the museum and library fields — learning/engagement, community responsiveness, collections care/conservation, digital tools and services</t>
  </si>
  <si>
    <t xml:space="preserve">Eligible = U.S. museums, museum/library service organizations, and affiliated nonprofits (and, under the parallel Libraries program, libraries and library agencies). Applicants may apply on behalf of the field. Match equal to or greater than the request required.</t>
  </si>
  <si>
    <t xml:space="preserve">Competitive (rate unspecified)</t>
  </si>
  <si>
    <t xml:space="preserve">Merit review: significance/need, project design and quality, applicant capacity, and impact/results and sustainability for the field.</t>
  </si>
  <si>
    <t xml:space="preserve">https://www.imls.gov/find-funding/funding-opportunities/grant-programs/national-leadership-grants-for-museums</t>
  </si>
  <si>
    <t xml:space="preserve">Verified 2026: program ACTIVE despite 2025 agency disruption — the funder page lists an FY2027 cycle with a tentative deadline of Nov 13, 2026 (FY2027 NOFO not yet posted) and carries the standard disclaimer that awards are 'subject to the availability of funds and IMLS discretion.' Award range ($50k-$750k) and 1:1 match confirmed on the page. IMLS also runs Laura Bush 21st Century Librarian, Museums for America, and Native American/Native Hawaiian programs (not separate rows).</t>
  </si>
  <si>
    <t xml:space="preserve">Grants for Arts Projects (GAP)</t>
  </si>
  <si>
    <t xml:space="preserve">National Endowment for the Arts (NEA)</t>
  </si>
  <si>
    <t xml:space="preserve">community, training</t>
  </si>
  <si>
    <t xml:space="preserve">arts</t>
  </si>
  <si>
    <t xml:space="preserve">Fund public-facing arts projects that give Americans access to the arts, arts education, and cultural heritage.</t>
  </si>
  <si>
    <t xml:space="preserve">ARTS PROJECT GRANT (performances, exhibitions, education, arts-in-health) — NOT research. mechanism_type=research_grant is used ONLY as the schema's generic project-grant bucket (no arts-project type exists) and should not be read as a research mechanism; research_stage=unspecified. institution_type_restriction=nonprofit_only flags that individuals/for-profits are barred (state/local govt and tribes are also eligible). Award range, 1:1 match, and org-only eligibility verified on the funder page 2026.</t>
  </si>
  <si>
    <t xml:space="preserve">$10,000-$100,000 (standard GAP); Local Arts Agencies subgranting $30,000-$150,000; Challenge America $10,000; requires &gt;=1:1 non-federal match (cash or in-kind)</t>
  </si>
  <si>
    <t xml:space="preserve">Project-based (up to ~2 years)</t>
  </si>
  <si>
    <t xml:space="preserve">arts projects across disciplines (dance, design, folk/traditional, literary, media, museums, music, opera, theater, visual arts, arts education, arts &amp; health)</t>
  </si>
  <si>
    <t xml:space="preserve">Eligible = 501(c)(3) nonprofits, units of state/local government, and federally recognized tribes with &gt;=5 years of arts programming and &gt;=$20,000 annual operating expenses. INDIVIDUALS and for-profits are INELIGIBLE (verified). Generally one GAP application per organization per year.</t>
  </si>
  <si>
    <t xml:space="preserve">Competitive; 1:1 cost-share required (rate unspecified)</t>
  </si>
  <si>
    <t xml:space="preserve">Two statutory criteria: Artistic Excellence and Artistic Merit of the project.</t>
  </si>
  <si>
    <t xml:space="preserve">https://www.arts.gov/grants/grants-for-arts-projects</t>
  </si>
  <si>
    <t xml:space="preserve">NEA also runs Research Grants in the Arts / NEA Research Labs (genuine social-science research on the arts) — noted here, not a separate row. Ensures the ARTS domain is represented.</t>
  </si>
  <si>
    <t xml:space="preserve">NEH Fellowships</t>
  </si>
  <si>
    <t xml:space="preserve">National Endowment for the Humanities (NEH), Division of Research Programs</t>
  </si>
  <si>
    <t xml:space="preserve">humanities</t>
  </si>
  <si>
    <t xml:space="preserve">Support individual scholars pursuing advanced research in the humanities that culminates in scholarly and general-audience publications.</t>
  </si>
  <si>
    <t xml:space="preserve">citizenship_residency=other because eligibility is U.S. citizen OR &gt;=3-year U.S. resident (not strictly PR). research_stage=unspecified because humanities advanced research does not map to science stages. topic_restricted was flipped to TRUE this audit because the current (2026) cycle imposes an explicit 'will only accept' thematic restriction (American history &amp; culture / Western civilization) — a real eligibility gate that per the structure rule must live in its own column; the base program is normally humanities-wide, so re-verify the theme each cycle.</t>
  </si>
  <si>
    <t xml:space="preserve">$5,000/month; maximum $60,000 (paid directly to the individual, not the institution)</t>
  </si>
  <si>
    <t xml:space="preserve">6-12 months of continuous full-time work</t>
  </si>
  <si>
    <t xml:space="preserve">CURRENT (2026) CYCLE RESTRICTION (verified): projects in U.S. history, culture, and government (Colonial era to the present) OR Western civilization (antiquity to the present). Base program is otherwise humanities-wide; theme is set per cycle.</t>
  </si>
  <si>
    <t xml:space="preserve">no (NEH Fellowships allows prior NEH awardees to reapply; per-cycle limit is one NEH application per deadline; no prior-award ban surfaced on the Fellowships page — distinct from Summer Stipends)</t>
  </si>
  <si>
    <t xml:space="preserve">Individuals apply directly; independent scholars and junior scholars explicitly encouraged; no career-stage restriction. Only one NEH application per deadline. Citizenship: U.S. citizens (resident or abroad) or foreign nationals resident in the U.S./its jurisdictions &gt;=3 years. VERIFIED 2026: the 2026 competition 'will only accept projects for research in American history and culture and Western civilization' — a hard current-cycle thematic gate now reflected in topic_restricted=true. The April 22, 2026 deadline has passed; updated guidelines to be posted before the next deadline.</t>
  </si>
  <si>
    <t xml:space="preserve">Highly competitive (funding rate unspecified)</t>
  </si>
  <si>
    <t xml:space="preserve">Peer review: intellectual significance and quality/conception of the project; feasibility and likelihood of completion; qualifications of the applicant; and quality of the writing sample.</t>
  </si>
  <si>
    <t xml:space="preserve">https://www.neh.gov/grants/research/fellowships</t>
  </si>
  <si>
    <t xml:space="preserve">Companion program NEH Summer Stipends is a separate row (shorter, smaller, nomination-limited, with a prior-award gate).</t>
  </si>
  <si>
    <t xml:space="preserve">NEH Summer Stipends</t>
  </si>
  <si>
    <t xml:space="preserve">Stimulate new humanities research and its publication via a concentrated two-month period of full-time work.</t>
  </si>
  <si>
    <t xml:space="preserve">Distinct from NEH Fellowships (shorter 2 months, smaller $8,000, nomination-limited), so a separate row per the split rule. citizenship_residency=other (U.S. citizen or &gt;=3-year resident); research_stage=unspecified. AUDIT FIX: prior_funding_exclusion upgraded from unconfirmed to CONFIRMED — the funder page now bars applicants who previously held any NEH individual award. Amount not restated on the page this run (marked est.) and a possible AI thematic emphasis is unresolved, so confidence downgraded high-&gt;medium.</t>
  </si>
  <si>
    <t xml:space="preserve">$8,000 flat stipend (est.; the dollar figure was not restated on the page this run)</t>
  </si>
  <si>
    <t xml:space="preserve">Two consecutive months of continuous full-time work</t>
  </si>
  <si>
    <t xml:space="preserve">YES (verified 2026): applicants must NOT have previously held an NEH award in any of NEH's programs for individuals (fellowships/stipends) — a genuine disqualifying prior-award gate (a 2024-era restriction), in addition to the one-nominee-per-institution submission limit.</t>
  </si>
  <si>
    <t xml:space="preserve">Individuals; supports humanities projects at any stage, especially early-stage research or late-stage writing. LIMITED SUBMISSION (verified): most faculty at colleges/universities require institutional nomination — institutions may nominate only ONE faculty member per deadline; independent scholars and certain non-teaching/community-college applicants may apply without nomination. Citizenship as for NEH Fellowships (U.S. citizen or &gt;=3-year U.S. resident). POSSIBLE current thematic emphasis: the page references NEH's 'Humanities Perspectives on Artificial Intelligence' initiative (ethical/legal/societal implications of AI) — unclear whether this is an exclusive restriction or a highlighted emphasis; verify per current NOFO (reason topic_restricted left false and confidence set to medium).</t>
  </si>
  <si>
    <t xml:space="preserve">Competitive (funding rate unspecified)</t>
  </si>
  <si>
    <t xml:space="preserve">Peer review: intellectual significance and quality of the project; feasibility; applicant qualifications; and quality of the writing sample.</t>
  </si>
  <si>
    <t xml:space="preserve">https://www.neh.gov/grants/research/summer-stipends</t>
  </si>
  <si>
    <t xml:space="preserve">Sea Grant John A. Knauss Marine Policy Fellowship</t>
  </si>
  <si>
    <t xml:space="preserve">NOAA National Sea Grant College Program</t>
  </si>
  <si>
    <t xml:space="preserve">Provide a unique one-year educational and professional experience placing graduate students in federal executive- and legislative-branch marine-policy offices in Washington, DC.</t>
  </si>
  <si>
    <t xml:space="preserve">citizenship_residency=citizen_national_pr_required (U.S. citizen, green-card/PR holder, or dual national) — confirmed on the funder page. submission_path=institutional_nomination_limited because applicants must apply via one of the state/territorial Sea Grant programs (nomination path), confirmed. Amount marked est. (not restated on the page this run). Sea Grant also funds coastal/ocean/Great-Lakes RESEARCH, extension, and education via its state programs' omnibus competitions and national competitions (cooperative-agreement/coordinated-network); represented in notes, not a separate row, to respect the row cap.</t>
  </si>
  <si>
    <t xml:space="preserve">~$74,700 salary + fringe plus allowances (up to ~$5,000 expenses, host travel up to ~$15,000, placement-week up to ~$2,500); total varies by year/placement (est.; the stipend figure was not restated on the current page this run)</t>
  </si>
  <si>
    <t xml:space="preserve">One year, in-residence in Washington, DC (Class of 2027 serves ~June 2027-May 2028; nomination via state programs, deadline ~July 1, 2026)</t>
  </si>
  <si>
    <t xml:space="preserve">Enrolled in a graduate degree program at an accredited U.S. institution between Fall 2025 and June 2026 (any graduate degree level) at the time of application</t>
  </si>
  <si>
    <t xml:space="preserve">ocean, coastal, and Great Lakes resources and their national policy/management</t>
  </si>
  <si>
    <t xml:space="preserve">Open to graduate students (master's, JD, PhD, etc.) in any discipline with demonstrated interest in ocean/coastal/Great Lakes resources and national policy. VERIFIED: must be a U.S. citizen (born or naturalized), U.S. lawful permanent resident (green-card holder), or U.S. dual national. Apply THROUGH your state/regional Sea Grant program, which reviews applications and nominates finalists to the national competition.</t>
  </si>
  <si>
    <t xml:space="preserve">Competitive; annual cohort size varies by year (exact rate unspecified)</t>
  </si>
  <si>
    <t xml:space="preserve">Competitive review by state Sea Grant programs then a national panel; selection on academic/professional achievement, demonstrated interest and leadership in marine/coastal policy, and communication skills.</t>
  </si>
  <si>
    <t xml:space="preserve">https://seagrant.noaa.gov/communities/students/graduate-fellows/knauss-fellowship-program/</t>
  </si>
  <si>
    <t xml:space="preserve">Two Knauss placement tracks (executive and legislative) collapsed. Broader NOAA Sea Grant research program is represented via this row's design_notes plus the auditNote rather than a separate row (its network/omnibus cooperative-agreement profile is filterably redundant with the DOT UTC and DHS COE rows).</t>
  </si>
  <si>
    <t xml:space="preserve">DHS Science &amp; Technology Directorate Centers of Excellence (COE)</t>
  </si>
  <si>
    <t xml:space="preserve">U.S. Department of Homeland Security, Science &amp; Technology Directorate, Office of University Programs (OUP)</t>
  </si>
  <si>
    <t xml:space="preserve">Build university-based research and education networks that deliver rigorous, objective knowledge and solutions to DHS homeland-security challenges and develop the homeland-security workforce.</t>
  </si>
  <si>
    <t xml:space="preserve">Classified cooperative_agreement per DHS (substantial agency involvement); coordinated multi-institution centers. Award-size specifics not on the program index page, so typical_award_size=unspecified rather than fabricate a figure.</t>
  </si>
  <si>
    <t xml:space="preserve">unspecified (multi-year cooperative agreements providing annual research + management funding; per-center amount not published on the program index page)</t>
  </si>
  <si>
    <t xml:space="preserve">Multi-year (typically several years, renewable)</t>
  </si>
  <si>
    <t xml:space="preserve">homeland security research (Arctic/maritime domain awareness, cross-border threat screening &amp; supply-chain defense, coastal &amp; critical-infrastructure resilience, terrorism/behavioral analysis, food/agriculture protection)</t>
  </si>
  <si>
    <t xml:space="preserve">University-led research consortia; academic institutions lead, partnering with industry, national labs, DHS operational components, and state/local/tribal/territorial agencies and first responders; competitively selected cooperative agreements (substantial DHS involvement).</t>
  </si>
  <si>
    <t xml:space="preserve">Limited cohort of active university-led centers (small number funded)</t>
  </si>
  <si>
    <t xml:space="preserve">Merit review of research quality and relevance to the DHS homeland-security mission, plus education/workforce development and engagement of operational partners (per OUP solicitations).</t>
  </si>
  <si>
    <t xml:space="preserve">https://www.dhs.gov/science-and-technology/centers-excellence</t>
  </si>
  <si>
    <t xml:space="preserve">Verified 2026: program active; current active COEs listed on the DHS S&amp;T page are the Arctic Domain Awareness Center (ADAC), Cross-Border Threat Screening and Supply Chain Defense (CBTS), and Maritime Security Center (MSC); earlier centers (borders/immigration, coastal resilience, terrorism/behavioral analysis, food protection) are now emeritus. No suspension/wind-down notice on the page.</t>
  </si>
  <si>
    <t xml:space="preserve">Graduate Research Fellowship (GRF)</t>
  </si>
  <si>
    <t xml:space="preserve">U.S. Department of Justice, National Institute of Justice (NIJ)</t>
  </si>
  <si>
    <t xml:space="preserve">Support outstanding doctoral students conducting dissertation research with demonstrable relevance to criminal justice.</t>
  </si>
  <si>
    <t xml:space="preserve">Formerly split into GRF-STEM and GRF-Social/Behavioral tracks; since ~FY2020 unified into a single GRF opportunity (verified: current review panels span Biology, Chemistry, Computer Science &amp; Engineering AND social/behavioral fields applied to crime/justice). Awarded to the institution to support the candidate; classified fellowship, research_stage=career_training. Dollar figures are from the most recent NOFO and not restated on the current overview page.</t>
  </si>
  <si>
    <t xml:space="preserve">Up to ~$50,000/yr (approx. &lt;=$35,000 salary/fringe + &lt;=$12,000 education allowance + &lt;=$3,000 research costs); up to 3 yrs, max total ~$150,000 (est., per recent NOFO; dollar amounts are NOT restated on the current program-overview page)</t>
  </si>
  <si>
    <t xml:space="preserve">Up to 3 years of support, usable over a 5-year period</t>
  </si>
  <si>
    <t xml:space="preserve">Enrolled in a PhD program at an accredited U.S. institution with dissertation research demonstrably relevant to NIJ's mission; advancement to doctoral candidacy (ABD) is typically required by award start per the NOFO (the current overview page states only 'currently enrolled in a Ph.D. program').</t>
  </si>
  <si>
    <t xml:space="preserve">crime, justice, and public safety (dissertation research relevant to the NIJ mission)</t>
  </si>
  <si>
    <t xml:space="preserve">no: dissertation-stage predoctoral fellowship; the only gating status is enrollment/advancement in the PhD (no disqualifying prior-award list on the funder overview page)</t>
  </si>
  <si>
    <t xml:space="preserve">For doctoral students at accredited U.S. institutions whose dissertation research has demonstrable relevance to preventing/controlling crime, victimization/victim services, or fair administration of justice; the host institution applies on behalf of the student. Foreign citizenship does not affect eligibility (host must be a U.S. institution).</t>
  </si>
  <si>
    <t xml:space="preserve">Competitive (rate unspecified); GRF not offered in some fiscal years subject to appropriations</t>
  </si>
  <si>
    <t xml:space="preserve">Merit review of the quality/technical merit and impact of the proposed dissertation research, its relevance to NIJ's mission, and applicant capabilities.</t>
  </si>
  <si>
    <t xml:space="preserve">https://nij.ojp.gov/funding/fellowships/graduate-research-fellowship-program-overview</t>
  </si>
  <si>
    <t xml:space="preserve">NIJ also runs general research &amp; evaluation grant solicitations and other fellowships/student programs (Du Bois tracked separately). Program confirmed active on the current overview page.</t>
  </si>
  <si>
    <t xml:space="preserve">W.E.B. Du Bois Program of Research on Reducing Racial and Ethnic Disparities in the Justice System</t>
  </si>
  <si>
    <t xml:space="preserve">early_career_faculty, senior_established</t>
  </si>
  <si>
    <t xml:space="preserve">Elevate independently generated research on the intersections of race, crime, violence, and justice to national significance and build a diverse next generation of scholars.</t>
  </si>
  <si>
    <t xml:space="preserve">POST-SFFA CLARIFICATION (re-verified 2026): the program's TOPIC is racial/ethnic disparities, but APPLICANT eligibility is NOT restricted by the researcher's race/ethnicity — the funder page contains no race/ethnicity applicant restriction and it is open to all qualified researchers, so identity_targeting=none and identity_gate_type=n/a. This is a RESEARCH-GRANT program with two career levels (Fellows=early-career, Scholars=advanced), not a stipend fellowship despite the historical 'fellowship' URL. Program active (most recent award listed Dec 20, 2024).</t>
  </si>
  <si>
    <t xml:space="preserve">Recent project awards ~$500,000-$1,133,976 (from NIJ award listings; 2024 award $1,133,976; 2023 awards ~$599,976-$730,834; varies by level)</t>
  </si>
  <si>
    <t xml:space="preserve">Multi-year (unspecified exact period)</t>
  </si>
  <si>
    <t xml:space="preserve">race, crime, violence, and the administration of justice; reducing racial and ethnic disparities in the justice system</t>
  </si>
  <si>
    <t xml:space="preserve">no (career-level tiers Fellow vs Scholar define eligibility; no disqualifying prior-award list on the program page)</t>
  </si>
  <si>
    <t xml:space="preserve">Two levels: Du Bois Fellows (early-career researchers) applying for research/evaluation grants, and Du Bois Scholars (advanced-career researchers) whose grants also mentor less-experienced researchers. Awarded to researchers/institutions. Applicant eligibility is defined by career stage, NOT by the researcher's race/ethnicity.</t>
  </si>
  <si>
    <t xml:space="preserve">Small number of awards annually (rate unspecified)</t>
  </si>
  <si>
    <t xml:space="preserve">Merit review of research quality/technical merit and relevance to advancing knowledge on race, crime, and justice and reducing disparities (per NIJ solicitation).</t>
  </si>
  <si>
    <t xml:space="preserve">https://nij.ojp.gov/funding/fellowships/web-du-bois-program</t>
  </si>
  <si>
    <t xml:space="preserve">Program name/framing has shifted across cycles; verify current-year title and scope in the active NOFO.</t>
  </si>
  <si>
    <t xml:space="preserve">University Transportation Centers (UTC) Program</t>
  </si>
  <si>
    <t xml:space="preserve">U.S. Department of Transportation (DOT), Office of the Assistant Secretary for Research and Technology (OST-R)</t>
  </si>
  <si>
    <t xml:space="preserve">engineering, social_sciences</t>
  </si>
  <si>
    <t xml:space="preserve">Advance the state of the art in transportation research and technology and develop the next generation of transportation professionals through university-based centers of excellence.</t>
  </si>
  <si>
    <t xml:space="preserve">Center/consortium grant blending research + education + workforce + technology transfer; classified research_grant because the schema has no center-grant type (research is the dominant activity), research_stage=coordinated_network for the multi-institution consortium structure. Congressionally mandated (established 1987). Tier counts/funding are from the 2022 competition record, not restated on the funder landing page (hence est. on amount).</t>
  </si>
  <si>
    <t xml:space="preserve">~$80-100M/yr total across 35 centers (5 national, 10 regional, 20 Tier 1); national &amp; regional UTCs require 1:1 non-federal match, Tier 1 UTCs require 50% match; per-center amount varies by tier (est.)</t>
  </si>
  <si>
    <t xml:space="preserve">Multi-year center grants (5-year program cycle, 2022-2026)</t>
  </si>
  <si>
    <t xml:space="preserve">transportation research, education, workforce development, and technology transfer</t>
  </si>
  <si>
    <t xml:space="preserve">Eligible applicants = U.S. nonprofit institutions of higher education (including qualifying 2-year institutions) forming consortia; competitively selected; awarded as grants (not cooperative agreements). Some tier/regional competitions geographically restricted to a region's states. Verified 2026: program active and congressionally mandated (since 1987); IIJA UTC cohort confirmed on the funder page.</t>
  </si>
  <si>
    <t xml:space="preserve">Competitive; fixed number of centers per tier (5 national / 10 regional / 20 Tier 1)</t>
  </si>
  <si>
    <t xml:space="preserve">Merit review against DOT RD&amp;T strategic priorities; quality of research, education, and workforce-development plans; leadership/management capacity; and technology transfer (per UTC NOFO).</t>
  </si>
  <si>
    <t xml:space="preserve">https://www.transportation.gov/utc</t>
  </si>
  <si>
    <t xml:space="preserve">DOT/OST-R also issues separate research grants and BAAs outside UTC (represented here in notes, not a separate row). Current program cycle tied to surface-transportation reauthorization (IIJA/BIL 2022-2026); no post-2026 UTC competition announced as of the check, so future cycle depends on reauthorization.</t>
  </si>
  <si>
    <t xml:space="preserve">Science to Achieve Results (STAR) Research Grants</t>
  </si>
  <si>
    <t xml:space="preserve">U.S. Environmental Protection Agency (EPA), Office of Research and Development</t>
  </si>
  <si>
    <t xml:space="preserve">Fund extramural, investigator-initiated environmental and human-health research to strengthen the scientific basis for EPA decision-making.</t>
  </si>
  <si>
    <t xml:space="preserve">STAR is EPA's standing competitive extramural research-grant mechanism; solicitations are topic-based and irregular, hence application_cadence=irregular and confidence=medium (no open opportunities listed, confirmed 2026-04-29). The STAR Graduate Fellowship and GRO Undergraduate Fellowship were DISCONTINUED (final awards 2015) — not a separate active row.</t>
  </si>
  <si>
    <t xml:space="preserve">Varies by solicitation (unspecified; historically multi-year extramural research grants)</t>
  </si>
  <si>
    <t xml:space="preserve">Typically multi-year (2-4 years, varies by RFA)</t>
  </si>
  <si>
    <t xml:space="preserve">environmental science and human health (air, water, ecosystems, climate, safer chemicals, sustainability, health research)</t>
  </si>
  <si>
    <t xml:space="preserve">Eligible applicants = U.S. public and private nonprofit institutions of higher education and nonprofit research institutions; for-profit firms generally ineligible (SBIR is a separate mechanism). VERIFIED 2026: EPA's Research Funding Opportunities page states 'There are no open Funding Opportunities' (last modified 2026-04-29). STAR is still named by EPA as its standing extramural mechanism but is currently DORMANT with no open RFAs.</t>
  </si>
  <si>
    <t xml:space="preserve">Competitive; varies by RFA (rate unspecified)</t>
  </si>
  <si>
    <t xml:space="preserve">Two-stage review: external scientific peer review for merit, followed by EPA relevancy review for program/mission fit.</t>
  </si>
  <si>
    <t xml:space="preserve">https://www.epa.gov/research-grants</t>
  </si>
  <si>
    <t xml:space="preserve">STAR remains EPA's named extramural research-grant mechanism (program page current) but shows no open opportunities as of 2026-04-29. NOTE: the EPA P3 National Student Design Competition was NOT retained as a separate row this run — its only verifiable cycle is the closed 21st Annual (applications closed Feb 2024), no 2025/2026 cycle is posted, and EPA reports no open opportunities; see auditNote.</t>
  </si>
  <si>
    <t xml:space="preserve">ACM SIGHPC Computational and Data Science Fellowship</t>
  </si>
  <si>
    <t xml:space="preserve">ACM SIGHPC</t>
  </si>
  <si>
    <t xml:space="preserve">professional_society</t>
  </si>
  <si>
    <t xml:space="preserve">Increase the diversity of students completing graduate programs in data science and computational science.</t>
  </si>
  <si>
    <t xml:space="preserve">identity_gate_type=prioritizes CONFIRMED against exact page wording: eligibility is 'open to students pursuing degrees at institutions anywhere in the world' but 'specifically targeted at women or students from racial/ethnic backgrounds that have not traditionally participated in the computing field' - a preference/targeting, NOT a hard restricted_to gate. Diversity is one scored criterion. Verified current (2026 cycle nominations Mar 15-May 15, 2026).</t>
  </si>
  <si>
    <t xml:space="preserve">US$20,000/year (adjusted by country of study)</t>
  </si>
  <si>
    <t xml:space="preserve">up to 4 years (PhD) / up to 2 years (Master's)</t>
  </si>
  <si>
    <t xml:space="preserve">Current graduate student (Master's or PhD) pursuing a degree in computational and/or data science at an institution anywhere in the world; advisor nomination required.</t>
  </si>
  <si>
    <t xml:space="preserve">women, underrepresented_minorities</t>
  </si>
  <si>
    <t xml:space="preserve">computational science and data science</t>
  </si>
  <si>
    <t xml:space="preserve">Open to students worldwide; program is specifically targeted at (not restricted to) women or students from racial/ethnic backgrounds underrepresented in computing.</t>
  </si>
  <si>
    <t xml:space="preserve">Overall potential for excellence in computational/data science; likelihood of completing the degree; extent to which the candidate will increase diversity in the workplace.</t>
  </si>
  <si>
    <t xml:space="preserve">https://www.sighpc.org/opportunities/fellowships</t>
  </si>
  <si>
    <t xml:space="preserve">Formerly the ACM SIGHPC/Intel Computational &amp; Data Science Fellowship; advisor-nominated.</t>
  </si>
  <si>
    <t xml:space="preserve">ACS Petroleum Research Fund Doctoral New Investigator (DNI) Grants</t>
  </si>
  <si>
    <t xml:space="preserve">ACS Petroleum Research Fund</t>
  </si>
  <si>
    <t xml:space="preserve">Support fundamental research and the training of graduate students by new faculty investigators in the petroleum field.</t>
  </si>
  <si>
    <t xml:space="preserve">New-investigator starter grant; classified research_grant with research_stage=feasibility_pilot to reflect career-launch intent. Cadence marked annual though PRF runs two fixed submission windows/year (fall + spring) - the enum lacks 'semiannual.' 'Not currently accepting' at check time reflects a between-window period, not discontinuation.</t>
  </si>
  <si>
    <t xml:space="preserve">$110,000 over 2 years</t>
  </si>
  <si>
    <t xml:space="preserve">2 years</t>
  </si>
  <si>
    <t xml:space="preserve">Regularly-appointed faculty within the first 3 years of an initial Assistant Professor (or equivalent) appointment at a U.S. doctoral-granting non-profit institution; must be able to formally supervise graduate students; appointment must continue through the funding period.</t>
  </si>
  <si>
    <t xml:space="preserve">fundamental (non-applied) research relevant to the petroleum field / energy; applied research and methods development excluded</t>
  </si>
  <si>
    <t xml:space="preserve">Career limit of three DNI applications considered and/or one funded DNI grant; cannot hold more than one active PRF research grant; PRF will not support a project overlapping (or partially overlapping) research funded by another agency, and the work cannot be a mere extension of the PI's graduate/postdoctoral research. (Confirmed verbatim on funder page.)</t>
  </si>
  <si>
    <t xml:space="preserve">Eligibility is institution/appointment-based (U.S. academic institution granting doctorates), not PI nationality.</t>
  </si>
  <si>
    <t xml:space="preserve">~75 awards/year</t>
  </si>
  <si>
    <t xml:space="preserve">(1) Overall quality/significance/scientific merit; (2) enhancement of student education; (3) novelty of the research for the investigator; (4) impact on the research program; (5) investigator qualifications and facilities.</t>
  </si>
  <si>
    <t xml:space="preserve">https://www.acs.org/funding/grants/petroleum-research-fund/programs/doctoral-new-investigator-grants.html</t>
  </si>
  <si>
    <t xml:space="preserve">Two submission windows per year (fall and spring cycles).</t>
  </si>
  <si>
    <t xml:space="preserve">ACS Petroleum Research Fund New Directions (ND) Grants</t>
  </si>
  <si>
    <t xml:space="preserve">Stimulate a new direction of research for established faculty and support their student scientists/engineers, in fundamental petroleum-field science.</t>
  </si>
  <si>
    <t xml:space="preserve">research_stage=exploratory_highrisk (pivot funding, no preliminary data, must be a new direction). For established (non-new) investigators - complements DNI/UNI. Amount confirmed verbatim.</t>
  </si>
  <si>
    <t xml:space="preserve">$125,000 over 2 years</t>
  </si>
  <si>
    <t xml:space="preserve">Regularly-appointed faculty (incl. emeritus supervising postdocs) at a non-profit U.S. institution, eligible to formally supervise graduate students; established investigators pivoting to a genuinely new research direction.</t>
  </si>
  <si>
    <t xml:space="preserve">fundamental research in the petroleum field; must be a new research direction for the PI</t>
  </si>
  <si>
    <t xml:space="preserve">Excludes proposals with previous or current funding for the project, and ideas that are a logical extension of the lead PI's ongoing research (the direction must be genuinely new for the lead PI). (Confirmed verbatim on funder page.)</t>
  </si>
  <si>
    <t xml:space="preserve">Non-tenure-track faculty need department-chair certification.</t>
  </si>
  <si>
    <t xml:space="preserve">(1) Newness of the research for the lead PI; (2) overall quality/significance/merit; (3) impact on the PI's research program; (4) PI qualifications and facilities; (5) enhancement of student education.</t>
  </si>
  <si>
    <t xml:space="preserve">https://www.acs.org/funding/grants/petroleum-research-fund/programs/new-directions-grants.html</t>
  </si>
  <si>
    <t xml:space="preserve">Two submission windows per year (next window opens Feb 9, 2026).</t>
  </si>
  <si>
    <t xml:space="preserve">ACS Petroleum Research Fund Undergraduate New Investigator (UNI) Grants</t>
  </si>
  <si>
    <t xml:space="preserve">Support fundamental petroleum-field research and the education of undergraduate researchers by new faculty at non-doctoral institutions.</t>
  </si>
  <si>
    <t xml:space="preserve">institution_type_restriction=pui_only (departments without doctoral programs, confirmed verbatim). Two windows/year; cadence marked annual per enum constraints.</t>
  </si>
  <si>
    <t xml:space="preserve">$55,000 over 2 years</t>
  </si>
  <si>
    <t xml:space="preserve">Faculty in a U.S. department that does NOT grant doctoral degrees; within first 5 years of initial regular academic appointment; Assistant Professor or equivalent; must have completed all PhD requirements; must supervise undergraduate researchers.</t>
  </si>
  <si>
    <t xml:space="preserve">fundamental research in the petroleum field (organic/polymer/inorganic chemistry, geochemistry, surface/materials science, petroleum engineering); applied research excluded</t>
  </si>
  <si>
    <t xml:space="preserve">Career limit of three UNI applications considered and/or one funded UNI grant; cannot hold more than one active PRF research grant. (Confirmed on funder page.)</t>
  </si>
  <si>
    <t xml:space="preserve">pui_only</t>
  </si>
  <si>
    <t xml:space="preserve">Program is for departments without doctoral programs (primarily-undergraduate context).</t>
  </si>
  <si>
    <t xml:space="preserve">~25 awards/year</t>
  </si>
  <si>
    <t xml:space="preserve">(1) Overall quality/significance/scientific merit; (2) enhancement of undergraduate science education; (3) novelty for the investigator; (4) impact on the research program; (5) investigator qualifications and facilities.</t>
  </si>
  <si>
    <t xml:space="preserve">https://www.acs.org/funding/grants/petroleum-research-fund/programs/undergraduate-new-investigator-grants.html</t>
  </si>
  <si>
    <t xml:space="preserve">Horton (Hydrology) Research Grant</t>
  </si>
  <si>
    <t xml:space="preserve">American Geophysical Union</t>
  </si>
  <si>
    <t xml:space="preserve">research_project, travel</t>
  </si>
  <si>
    <t xml:space="preserve">Promote excellence and encourage next-generation professionals in the hydrological sciences by supporting PhD-student research.</t>
  </si>
  <si>
    <t xml:space="preserve">Representative AGU (geophysics/earth-science) student research grant. Second installment released the following June on submission of a progress report. AGU's GSSI Student Research Grant is retired, so Horton is used instead. Amount and up-to-3 recipients confirmed verbatim.</t>
  </si>
  <si>
    <t xml:space="preserve">up to $10,000 research grant (plus $500 US/Canada or $1,000 international travel; $500 if virtual)</t>
  </si>
  <si>
    <t xml:space="preserve">1 year (from annual-meeting presentation)</t>
  </si>
  <si>
    <t xml:space="preserve">PhD student studying hydrology, water resources, or a closely related field; active AGU student member; enrolled in a doctoral program for the duration of the award.</t>
  </si>
  <si>
    <t xml:space="preserve">hydrology / water resources</t>
  </si>
  <si>
    <t xml:space="preserve">AGU student membership required; open to any nationality (international applicants receive higher travel allowance).</t>
  </si>
  <si>
    <t xml:space="preserve">up to 3 recipients/year</t>
  </si>
  <si>
    <t xml:space="preserve">Importance to advancing knowledge in the field; creativity/originality; clarity of objectives; proposer qualifications; quality of activity conception/organization; sufficient resource access.</t>
  </si>
  <si>
    <t xml:space="preserve">https://www.agu.org/honors/horton-grant</t>
  </si>
  <si>
    <t xml:space="preserve">Submission window January 17 - March 27 annually (confirmed on funder page).</t>
  </si>
  <si>
    <t xml:space="preserve">Career Development Award</t>
  </si>
  <si>
    <t xml:space="preserve">American Heart Association</t>
  </si>
  <si>
    <t xml:space="preserve">early_career_faculty, transition</t>
  </si>
  <si>
    <t xml:space="preserve">career_development, research_project</t>
  </si>
  <si>
    <t xml:space="preserve">Support early-career healthcare/academic professionals exploring innovative questions or pilot studies to generate preliminary data and establish careers as research scientists.</t>
  </si>
  <si>
    <t xml:space="preserve">Classified career_development_award (mentored K-type). years_since_degree_max=null because the cap is on years-since-first-faculty-appointment (&lt;=6), not years-since-degree (confirmed on funder page).</t>
  </si>
  <si>
    <t xml:space="preserve">$231,000 total ($77,000/yr incl. 10% institutional indirect)</t>
  </si>
  <si>
    <t xml:space="preserve">3 years; non-renewable</t>
  </si>
  <si>
    <t xml:space="preserve">MD, PhD, DO, DVM, DDS or equivalent post-baccalaureate doctoral degree; postdocs eligible but must secure a faculty position before award start; faculty/staff up to and including assistant professor level at activation; no more than 6 years since first faculty/staff appointment; &gt;=10% effort.</t>
  </si>
  <si>
    <t xml:space="preserve">cardiovascular, cerebrovascular, and brain health</t>
  </si>
  <si>
    <t xml:space="preserve">Excludes any current OR prior recipient of an AHA Career Development Award or Scientist Development Grant; investigators awarded NIH K99/R00 or R01 are ineligible. Carve-out: may hold other NIH K awards concurrently if no budgetary overlap. (Confirmed verbatim on funder page.)</t>
  </si>
  <si>
    <t xml:space="preserve">Citizenship/visa list as with other AHA awards (citizen/PR/pending-PR or E-3/F-1(fellows)/G-4/H-1B/J-1(pre/postdoc)/O-1/TN/DACA). AHA professional membership required.</t>
  </si>
  <si>
    <t xml:space="preserve">Mentorship &amp; Career Development; Investigator &amp; Environment; Research Plan (significance, approach, innovation, impact / pathway to independence).</t>
  </si>
  <si>
    <t xml:space="preserve">https://professional.heart.org/en/research-programs/aha-funding-opportunities/career-development-award</t>
  </si>
  <si>
    <t xml:space="preserve">2027 cycle; annual.</t>
  </si>
  <si>
    <t xml:space="preserve">Established Investigator Award</t>
  </si>
  <si>
    <t xml:space="preserve">midcareer</t>
  </si>
  <si>
    <t xml:space="preserve">research_project, salary_stipend, career_development</t>
  </si>
  <si>
    <t xml:space="preserve">Support mid-career investigators in a rapid growth phase pursuing an innovative, novel research direction in cardiovascular/cerebrovascular science.</t>
  </si>
  <si>
    <t xml:space="preserve">Classified research_grant (mid-career investigator award requiring an established funding record, beyond career-development). research_stage=hypothesis_driven_mature though the award emphasizes a 'novel research direction.' Amounts and 8-criterion review confirmed on funder page.</t>
  </si>
  <si>
    <t xml:space="preserve">$550,000 total ($110,000/yr incl. 10% indirect, indirect capped $10k/yr)</t>
  </si>
  <si>
    <t xml:space="preserve">5 years; non-renewable</t>
  </si>
  <si>
    <t xml:space="preserve">Full-time faculty/staff scientist; at activation must be at ASSOCIATE PROFESSOR level (or equivalent) and no more than 15 years since first faculty appointment; full professors ineligible; must have a history and current evidence of substantial extramural funding.</t>
  </si>
  <si>
    <t xml:space="preserve">cardiovascular and cerebrovascular science</t>
  </si>
  <si>
    <t xml:space="preserve">Requires a track record of substantial independent extramural funding; full professors ineligible; those &gt;15 years past first faculty appointment ineligible. (Confirmed on funder page.)</t>
  </si>
  <si>
    <t xml:space="preserve">Citizen/PR/pending-PR or E-3/F-1/G-4/H-1B/J-1/O-1/TN/DACA. AHA professional membership required.</t>
  </si>
  <si>
    <t xml:space="preserve">Eight criteria; the first two must be met to be competitive: (1) innovative/novel research direction and (2) demonstrated commitment to CV/cerebrovascular disease; also independence, potential, prior national funding, career impact, environment, overall impact.</t>
  </si>
  <si>
    <t xml:space="preserve">https://professional.heart.org/en/research-programs/aha-funding-opportunities/established-investigator-award</t>
  </si>
  <si>
    <t xml:space="preserve">Next deadline TBA on page; historically annual.</t>
  </si>
  <si>
    <t xml:space="preserve">Postdoctoral Fellowship</t>
  </si>
  <si>
    <t xml:space="preserve">postdoc, physician_scientist</t>
  </si>
  <si>
    <t xml:space="preserve">Enhance training of postdoctoral applicants pursuing independent research careers in cardiovascular/cerebrovascular/brain health.</t>
  </si>
  <si>
    <t xml:space="preserve">years_since_degree_max=5 confirmed verbatim ('no more than five years of research training since doctoral degree'). Mentor may supervise max four AHA fellows concurrently. Stipend band and 4-year total cap confirmed on funder page.</t>
  </si>
  <si>
    <t xml:space="preserve">$63,480-$77,076/yr stipend (by years post-degree) + $12,200/yr health insurance + $3,000/yr project support</t>
  </si>
  <si>
    <t xml:space="preserve">1-2 years; second 2-year award possible (max 4 years AHA postdoc support/individual)</t>
  </si>
  <si>
    <t xml:space="preserve">Holds a post-baccalaureate doctoral degree (PhD or clinical doctorate); no more than five years of research training/experience since that degree; 80% effort to research; not pursuing another doctoral degree; not at faculty rank.</t>
  </si>
  <si>
    <t xml:space="preserve">May hold only ONE AHA research award at a time. Cannot be pursuing another doctoral degree; not for those holding faculty rank. Maximum of four years of AHA-funded postdoctoral support per individual (a second two-year award may be sought). (Confirmed on funder page.)</t>
  </si>
  <si>
    <t xml:space="preserve">At submission must hold U.S. citizen, permanent resident, pending PR, or E-3/F-1/G-4/H-1B/J-1/O-1/TN visa or DACA status. AHA professional membership required.</t>
  </si>
  <si>
    <t xml:space="preserve">Potential of the Fellow (30%); Mentor's Commitment &amp; Training Plan (40%); Research as Training Vehicle (30%); scored 1-9.</t>
  </si>
  <si>
    <t xml:space="preserve">https://professional.heart.org/en/research-programs/aha-funding-opportunities/postdoctoral-fellowship</t>
  </si>
  <si>
    <t xml:space="preserve">2027 cycle open (RFP Apr 28, 2026; deadline Aug 5, 2026); annual.</t>
  </si>
  <si>
    <t xml:space="preserve">Predoctoral Fellowship</t>
  </si>
  <si>
    <t xml:space="preserve">Mentored training for pre-doctoral and clinical health degree students intending careers as scientists, physician-scientists or clinician-scientists focused on cardiovascular/cerebrovascular/brain health.</t>
  </si>
  <si>
    <t xml:space="preserve">Mentored predoctoral training fellowship; AHA professional membership required at submission. citizenship_residency='other' because eligibility is a specific list that includes many U.S. visa holders and DACA, not just citizens/PR. Amounts and 3-factor weighted review confirmed verbatim on funder page.</t>
  </si>
  <si>
    <t xml:space="preserve">$29,364/yr stipend + $4,550/yr health insurance + $2,000/yr project support</t>
  </si>
  <si>
    <t xml:space="preserve">1-2 years</t>
  </si>
  <si>
    <t xml:space="preserve">Full-time student in a post-baccalaureate doctoral program (MD, DO, DVM, PharmD, DDS, DrPH, or PhD in science/nursing/public health/clinical health science); must devote 80% effort to research at activation; not at faculty/staff rank.</t>
  </si>
  <si>
    <t xml:space="preserve">A Predoctoral Fellowship awardee may hold only ONE AHA research award at a time and may not use a comparable concurrent award as supplementation; must be a matriculated full-time doctoral student, not at faculty/staff rank. No prior-AHA-award disqualification specific to predocs. (Verified on funder page; concurrent-award rule confirmed.)</t>
  </si>
  <si>
    <t xml:space="preserve">At submission must hold U.S. citizen, permanent resident, pending PR (I-485 filed), or E-3/F-1/G-4/H-1B/J-1/O-1/TN visa or DACA status; residence in U.S. before applying not required. AHA professional membership required.</t>
  </si>
  <si>
    <t xml:space="preserve">Potential of the Fellow (30%); Mentor's Commitment &amp; Training Plan (40%); Research Evaluation as Training Vehicle (30%).</t>
  </si>
  <si>
    <t xml:space="preserve">https://professional.heart.org/en/research-programs/aha-funding-opportunities/predoctoral-fellowship</t>
  </si>
  <si>
    <t xml:space="preserve">2027 cycle open (deadline Aug 4, 2026); annual RFP. Non-independent, mentor-supervised.</t>
  </si>
  <si>
    <t xml:space="preserve">Transformational Project Award</t>
  </si>
  <si>
    <t xml:space="preserve">Support highly innovative, high-impact projects building on preliminary work that could lead to critical discoveries or major advancements in cardiovascular/cerebrovascular research.</t>
  </si>
  <si>
    <t xml:space="preserve">research_stage=exploratory_highrisk (innovation/breakthrough emphasis) though strong preliminary data is required. career_stage=no_stage_restriction per explicit 'no limit' language (confirmed on funder page).</t>
  </si>
  <si>
    <t xml:space="preserve">$300,000 total ($100,000/yr incl. 10% indirect)</t>
  </si>
  <si>
    <t xml:space="preserve">3 years</t>
  </si>
  <si>
    <t xml:space="preserve">Post-baccalaureate doctoral degree (PhD or clinical doctorate); faculty/staff position above trainee/postdoc rank; explicitly NO limit on career stage, academic rank, or discipline; AHA professional member.</t>
  </si>
  <si>
    <t xml:space="preserve">cardiovascular and cerebrovascular research</t>
  </si>
  <si>
    <t xml:space="preserve">No career-stage or prior-funding exclusion (open to all above trainee rank). The submitted project may have no scientific or budgetary overlap with other funded work; concurrent awards permitted only for clearly distinct aims. Requires strong preliminary data. (Confirmed on funder page.)</t>
  </si>
  <si>
    <t xml:space="preserve">Citizen/PR or E-3/F-1/G-4/H-1B/J-1/O-1/TN/DACA.</t>
  </si>
  <si>
    <t xml:space="preserve">Strength of preliminary data; investigator/environment; significance; methodological rigor; innovation/breakthrough potential; impact on AHA mission.</t>
  </si>
  <si>
    <t xml:space="preserve">https://professional.heart.org/en/research-programs/aha-funding-opportunities/transformational-project-award</t>
  </si>
  <si>
    <t xml:space="preserve">Future of Physics Days (FPD) Meeting/Travel Grants</t>
  </si>
  <si>
    <t xml:space="preserve">American Physical Society</t>
  </si>
  <si>
    <t xml:space="preserve">travel_conference</t>
  </si>
  <si>
    <t xml:space="preserve">travel</t>
  </si>
  <si>
    <t xml:space="preserve">Support undergraduate students presenting research at APS March/April meetings.</t>
  </si>
  <si>
    <t xml:space="preserve">confidence=medium retained: the funder's OWN program page is still live and describes the standing undergraduate mechanism, but it renders only prior-cycle (2020/2021) dates and states registration reimbursement rather than a fixed stipend - i.e., un-refreshed page maintenance, not confirmed discontinuation. APS 'Fellowship' proper is an honorary elected distinction (not funding) and is deliberately excluded; this travel grant is the actual APS student funding mechanism.</t>
  </si>
  <si>
    <t xml:space="preserve">meeting registration reimbursed (no fixed dollar amount published)</t>
  </si>
  <si>
    <t xml:space="preserve">one-time (per meeting)</t>
  </si>
  <si>
    <t xml:space="preserve">Undergraduate APS member presenting an abstract in the Undergraduate Research category and registered for the APS March or April (Global Physics Summit) meeting; supervisor support letter; meeting volunteer commitment.</t>
  </si>
  <si>
    <t xml:space="preserve">physics (undergraduate research presentation)</t>
  </si>
  <si>
    <t xml:space="preserve">No prior-funding exclusion stated; only one meeting grant per faculty advisor.</t>
  </si>
  <si>
    <t xml:space="preserve">APS membership required (free first-year student membership available); open to any nationality.</t>
  </si>
  <si>
    <t xml:space="preserve">one meeting grant per faculty advisor</t>
  </si>
  <si>
    <t xml:space="preserve">APS membership + undergraduate status + abstract in Undergraduate Research category + meeting registration + supervisor support letter + volunteer commitment.</t>
  </si>
  <si>
    <t xml:space="preserve">https://www.aps.org/meetings/events/futurephysics/travelgrants.cfm</t>
  </si>
  <si>
    <t xml:space="preserve">APS also offers division/forum travel grants (e.g., DPF, DNP) and identity/international travel awards. March/April meetings now run as the combined Global Physics Summit.</t>
  </si>
  <si>
    <t xml:space="preserve">M. Hildred Blewett Fellowship</t>
  </si>
  <si>
    <t xml:space="preserve">American Physical Society (APS)</t>
  </si>
  <si>
    <t xml:space="preserve">salary_stipend, research_project, career_development, travel, equipment</t>
  </si>
  <si>
    <t xml:space="preserve">Enables a woman to return to a physics research career after an interruption; provides a one-year grant to help her make the transition back into a professional physics research career.</t>
  </si>
  <si>
    <t xml:space="preserve">One-year, non-renewable grant paid to the recipient's host institution; funds may cover salary, dependent care (capped at 50% of the award), travel, equipment, and tuition/fees; institutional overhead is not allowed. Established from the estate of accelerator physicist M. Hildred Blewett.</t>
  </si>
  <si>
    <t xml:space="preserve">Up to $45,000 for one year</t>
  </si>
  <si>
    <t xml:space="preserve">1 year (non-renewable)</t>
  </si>
  <si>
    <t xml:space="preserve">Applicant must have had to interrupt her physics research career and must have completed work toward a PhD; no fixed years-since-degree cap - keyed to the career interruption</t>
  </si>
  <si>
    <t xml:space="preserve">women</t>
  </si>
  <si>
    <t xml:space="preserve">restricted_to</t>
  </si>
  <si>
    <t xml:space="preserve">Not specified; the award targets those resuming research after a career interruption and requires demonstrated need to transition back into physics</t>
  </si>
  <si>
    <t xml:space="preserve">Open to women who have completed work toward a PhD and had to interrupt their physics research careers; must be a U.S. or Canadian citizen or legal/permanent resident (or resident alien eligible to work in the U.S. or Canada); must provide proof of host institutional affiliation for the grant period (affiliation not required at time of application).</t>
  </si>
  <si>
    <t xml:space="preserve">Selection committee weighs applicant qualifications, career history/trajectory, feasibility and merit of the proposed research project, likelihood the fellowship enables return to physics, and alignment with long-term career goals (seven stated factors)</t>
  </si>
  <si>
    <t xml:space="preserve">A concrete, feasible research plan with a supportive host institution/mentor and a compelling account of the interruption and trajectory back into physics research</t>
  </si>
  <si>
    <t xml:space="preserve">https://www.aps.org/funding-recognition/fellowship/blewett-fellowship</t>
  </si>
  <si>
    <t xml:space="preserve">Active as of the 2026 cycle (recent recipients listed for 2023 and 2024; a June application deadline). Typically one award per year (occasionally more). Paid through the host institution; dependent-care use capped at 50% of the award.</t>
  </si>
  <si>
    <t xml:space="preserve">ASM Student and Postdoctoral Travel Award</t>
  </si>
  <si>
    <t xml:space="preserve">American Society for Microbiology</t>
  </si>
  <si>
    <t xml:space="preserve">life_sciences, biomedical_health</t>
  </si>
  <si>
    <t xml:space="preserve">Offset expenses to attend ASM Microbe and present research.</t>
  </si>
  <si>
    <t xml:space="preserve">Used as the current, clearly-sourced ASM trainee mechanism. Amount, 5-per-meeting/15-total count, and 2-year exclusion confirmed verbatim. ASM's Robert D. Watkins Graduate Research Fellowship (historically a PhD fellowship for underrepresented minorities) could not be verified on a current standalone asm.org program page; not logged as a separate row to avoid a low-confidence stub.</t>
  </si>
  <si>
    <t xml:space="preserve">$1,000 per awardee (plus complimentary registration)</t>
  </si>
  <si>
    <t xml:space="preserve">Current ASM member at time of application (active through the meeting); undergraduate, graduate student, or postdoctoral researcher; unpublished/unpresented abstract required; may not have received an ASM Microbe travel award in the prior 2 years.</t>
  </si>
  <si>
    <t xml:space="preserve">microbiology</t>
  </si>
  <si>
    <t xml:space="preserve">Cannot have received an ASM Microbe travel award in the previous 2 years. (Confirmed on funder page.)</t>
  </si>
  <si>
    <t xml:space="preserve">ASM membership required; no nationality or identity restriction stated.</t>
  </si>
  <si>
    <t xml:space="preserve">15 awards total (5 from each of three interconnected meetings)</t>
  </si>
  <si>
    <t xml:space="preserve">Selected by the Travel Award Committee on the scientific quality of the submitted abstract (with CV, two nomination letters, and a &lt;=500-word applicant statement).</t>
  </si>
  <si>
    <t xml:space="preserve">https://asm.org/travel-award/asm-student-and-postdoctoral-travel-award</t>
  </si>
  <si>
    <t xml:space="preserve">Covers undergrad through postdoc, matching the predoc/postdoc emphasis.</t>
  </si>
  <si>
    <t xml:space="preserve">ASME Graduate Teaching Fellowship</t>
  </si>
  <si>
    <t xml:space="preserve">American Society of Mechanical Engineers</t>
  </si>
  <si>
    <t xml:space="preserve">salary_stipend, career_development, training</t>
  </si>
  <si>
    <t xml:space="preserve">engineering</t>
  </si>
  <si>
    <t xml:space="preserve">Encourage outstanding doctoral candidates toward careers in mechanical-engineering education, particularly women and minorities.</t>
  </si>
  <si>
    <t xml:space="preserve">identity_gate_type=prioritizes CONFIRMED against current page: language 'encourage... particularly women and minorities' is encouragement, not an exclusionary gate; program is open to all qualified ME PhD students. Distinct citizenship gate (US citizen/PR) captured in citizenship_residency.</t>
  </si>
  <si>
    <t xml:space="preserve">$5,000/year</t>
  </si>
  <si>
    <t xml:space="preserve">PhD student in mechanical engineering with demonstrated interest in an academic career; master's degree or passed qualifying exam; department commitment to a lecture-responsibility teaching assistantship (must teach &gt;=1 lecture course with full responsibility); ASME (student) member.</t>
  </si>
  <si>
    <t xml:space="preserve">mechanical engineering (preparing future ME/MET faculty)</t>
  </si>
  <si>
    <t xml:space="preserve">No prior-funding exclusion stated; renewable to a maximum of two years subject to satisfactory progress reports.</t>
  </si>
  <si>
    <t xml:space="preserve">U.S. citizen or permanent resident required.</t>
  </si>
  <si>
    <t xml:space="preserve">Undergraduate GPA; CV; two faculty recommendation letters; transcripts; statement of interest in an ME/MET faculty career.</t>
  </si>
  <si>
    <t xml:space="preserve">https://www.asme.org/asme-programs/students-and-faculty/fellowships/graduate-teaching-fellowships</t>
  </si>
  <si>
    <t xml:space="preserve">Deadline Feb 15 annually; awards in July.</t>
  </si>
  <si>
    <t xml:space="preserve">AWIS Opportunity Scholarships for Career Re-entry</t>
  </si>
  <si>
    <t xml:space="preserve">Association for Women in Science (AWIS)</t>
  </si>
  <si>
    <t xml:space="preserve">reentry, transition</t>
  </si>
  <si>
    <t xml:space="preserve">career_development, training</t>
  </si>
  <si>
    <t xml:space="preserve">Supports individuals in STEM returning to the workforce after a career interruption; funds may cover job-search fees, technology, commuting, family care, additional education, incubator participation, or start-up costs for a scientific innovation or product.</t>
  </si>
  <si>
    <t xml:space="preserve">Small career-re-entry scholarship (not a research grant); requires current AWIS membership. Up to two awards per cycle.</t>
  </si>
  <si>
    <t xml:space="preserve">$2,500 per award (up to two awards per cycle)</t>
  </si>
  <si>
    <t xml:space="preserve">One-time award (no multi-year support period)</t>
  </si>
  <si>
    <t xml:space="preserve">AWIS member with a bachelor's degree in a STEM-related field who has been out of the workforce for more than one year</t>
  </si>
  <si>
    <t xml:space="preserve">Not topic-restricted (STEM fields broadly)</t>
  </si>
  <si>
    <t xml:space="preserve">None stated</t>
  </si>
  <si>
    <t xml:space="preserve">Requires current AWIS membership; applicant must hold a STEM bachelor's and have been out of the workforce for more than one year. Application includes a professional-goals essay (500-1,500 words) and two recommendations. Citizenship/residency not specified on the funder page.</t>
  </si>
  <si>
    <t xml:space="preserve">Reviewed on the professional-goals essay (reasons for exit/re-entry, prior contributions, intended STEM impact, and how the award helps), CV, intended use of funds, and two recommendations</t>
  </si>
  <si>
    <t xml:space="preserve">A concrete plan for returning to STEM work and a clear account of how the modest funds unblock re-entry</t>
  </si>
  <si>
    <t xml:space="preserve">https://awis.org/awis-opportunity-scholarships-career-re-entry/</t>
  </si>
  <si>
    <t xml:space="preserve">Standing annual program; the 2026 cycle was closed at the checked date with the 2027 cycle upcoming. Career-re-entry scholarship (not a research grant); up to two $2,500 awards per cycle; requires AWIS membership.</t>
  </si>
  <si>
    <t xml:space="preserve">IEEE Electron Devices Society (EDS) PhD Student Fellowship</t>
  </si>
  <si>
    <t xml:space="preserve">IEEE</t>
  </si>
  <si>
    <t xml:space="preserve">Promote, recognize and support PhD-level study and research within the EDS field of interest.</t>
  </si>
  <si>
    <t xml:space="preserve">submission_path=institutional_nomination_limited because only one candidate per institution may be put forward each year (de facto limited submission), plus required EDS-member sponsor. Representative IEEE society graduate fellowship. Award, regional distribution, and one-per-institution rule confirmed verbatim.</t>
  </si>
  <si>
    <t xml:space="preserve">US$5,000 (plus travel/accommodation to IEDM if needed)</t>
  </si>
  <si>
    <t xml:space="preserve">1 year (one-time)</t>
  </si>
  <si>
    <t xml:space="preserve">IEEE EDS student member (at time of nomination) pursuing a full-time doctorate within EDS fields; must continue at the same institution with the same advisor for 12 months after the award; sponsor must be an IEEE EDS member.</t>
  </si>
  <si>
    <t xml:space="preserve">electron devices (EDS field of interest)</t>
  </si>
  <si>
    <t xml:space="preserve">Previous award winners ineligible; cannot be awarded for the same work previously recognized by an IEEE Technical Field Award or Medal. (Confirmed on funder page.)</t>
  </si>
  <si>
    <t xml:space="preserve">Global program with regional distribution; any nationality.</t>
  </si>
  <si>
    <t xml:space="preserve">~3 fellowships/year (one per region: Americas, EMEA, Asia-Pacific); max one candidate per institution</t>
  </si>
  <si>
    <t xml:space="preserve">Significant ability to perform independent research in electron devices; proven history of academic excellence.</t>
  </si>
  <si>
    <t xml:space="preserve">https://eds.ieee.org/education/student-fellowships/phd-student-fellowship</t>
  </si>
  <si>
    <t xml:space="preserve">IEEE has many society-specific fellowships (e.g., MTT-S, EDS, I&amp;M); this EDS award is used as the representative predoctoral mechanism.</t>
  </si>
  <si>
    <t xml:space="preserve">Neuroscience Scholars Program (NSP)</t>
  </si>
  <si>
    <t xml:space="preserve">Society for Neuroscience</t>
  </si>
  <si>
    <t xml:space="preserve">training, career_development, community</t>
  </si>
  <si>
    <t xml:space="preserve">Support graduate students and postdoctoral researchers with career enhancement, mentoring, and community building in neuroscience.</t>
  </si>
  <si>
    <t xml:space="preserve">SFFA-sensitive: NSP historically served trainees from underrepresented/disadvantaged backgrounds, but the CURRENT page (verified) explicitly states it is 'now open to all trainees meeting the eligibility criteria' in accordance with updated U.S. federal guidance - so identity_targeting recorded as 'none'/n/a per the page as of the check, NOT the historical restricted status. Up-to-16 Fellows, 2-year term, and $1,500 enrichment confirmed.</t>
  </si>
  <si>
    <t xml:space="preserve">up to $1,500 enrichment funds + annual SfN meeting travel awards (both years) + 2 years complimentary SfN membership + mentoring team</t>
  </si>
  <si>
    <t xml:space="preserve">Enrolled in a graduate degree-granting program or a postdoctoral fellowship; U.S. citizen.</t>
  </si>
  <si>
    <t xml:space="preserve">neuroscience</t>
  </si>
  <si>
    <t xml:space="preserve">Current page states U.S. citizens only.</t>
  </si>
  <si>
    <t xml:space="preserve">up to 16 Fellows selected (Associates: all eligible applicants)</t>
  </si>
  <si>
    <t xml:space="preserve">unspecified (application-based selection into Fellow vs. Associate tiers).</t>
  </si>
  <si>
    <t xml:space="preserve">https://www.sfn.org/initiatives/community/neuroscience-scholars-program</t>
  </si>
  <si>
    <t xml:space="preserve">Two-tier program (Fellows receive monetary/travel benefits; Associates receive online mentoring/community).</t>
  </si>
  <si>
    <t xml:space="preserve">Sloan Research Fellowships</t>
  </si>
  <si>
    <t xml:space="preserve">Alfred P. Sloan Foundation</t>
  </si>
  <si>
    <t xml:space="preserve">private_foundation</t>
  </si>
  <si>
    <t xml:space="preserve">physical_sciences, computing_math, life_sciences, social_sciences</t>
  </si>
  <si>
    <t xml:space="preserve">Support early-career researchers whose achievements mark them as among the most promising scientific researchers.</t>
  </si>
  <si>
    <t xml:space="preserve">submission_path=institutional_nomination_limited because a senior-researcher nomination is mandatory (self-nomination not accepted) and nominations are capped at 3 per department per field; it is not a single-slot per-institution cap (clarified in eligibility_notes).</t>
  </si>
  <si>
    <t xml:space="preserve">$75,000 over 2 years (flexible/unrestricted, paid as lump sum)</t>
  </si>
  <si>
    <t xml:space="preserve">Early-career faculty; tenure-track but untenured as of Sept 15 of the nomination year; hold a PhD (or equivalent); typically several years past the PhD</t>
  </si>
  <si>
    <t xml:space="preserve">no (eligibility is tenure-status-based, not prior-funding-based)</t>
  </si>
  <si>
    <t xml:space="preserve">Eligible fields (8): chemistry, computer science, Earth system science, economics, mathematics, neuroscience, physics (and related). US/Canada degree-granting institution with a regular teaching obligation. A nomination letter from a department head/senior researcher is mandatory (self-nomination not accepted). Verified 2026-07-18: a department may nominate more than one candidate per field but no more than three - i.e., nomination-required with a soft per-department cap, not a single-slot limited submission.</t>
  </si>
  <si>
    <t xml:space="preserve">Independent research accomplishments, creativity, and potential to become a leader in the field</t>
  </si>
  <si>
    <t xml:space="preserve">https://sloan.org/fellowships/</t>
  </si>
  <si>
    <t xml:space="preserve">AAUW Career Development Grants</t>
  </si>
  <si>
    <t xml:space="preserve">American Association of University Women (AAUW)</t>
  </si>
  <si>
    <t xml:space="preserve">training, career_development</t>
  </si>
  <si>
    <t xml:space="preserve">Funds women who already hold a college degree and are seeking to enter, re-enter, transition into, or advance in the workforce - supporting certificate or training programs, especially in fields where women are underrepresented (e.g., STEM and executive leadership).</t>
  </si>
  <si>
    <t xml:space="preserve">Career/education grant (not a research-project grant): supports tuition, fees, books, and related costs for coursework, certificate, or professional-development programs; does not fund degree/PhD coursework. Prioritizes women earning their first advanced credential and those in nontraditional fields; special consideration for women of color.</t>
  </si>
  <si>
    <t xml:space="preserve">Up to about $8,000 per grant (recent cycle)</t>
  </si>
  <si>
    <t xml:space="preserve">About 1 year (recent cycle project start dates Sep 1 - Dec 30, 2026)</t>
  </si>
  <si>
    <t xml:space="preserve">Women who earned their qualifying college degree and are pursuing additional education/training to enter, re-enter, or advance in the workforce; typically those without a prior graduate/professional degree in the intended field</t>
  </si>
  <si>
    <t xml:space="preserve">Not topic-restricted (prioritizes STEM and executive/leadership fields where women are underrepresented)</t>
  </si>
  <si>
    <t xml:space="preserve">Generally not intended for applicants who already hold a graduate/professional degree in the field of study; does not fund degree-program (e.g., PhD) coursework</t>
  </si>
  <si>
    <t xml:space="preserve">Applicants must be women who are U.S. citizens or permanent residents holding a prior college degree; funds support non-degree certificate/training and professional development to enter, re-enter, or advance in the workforce. Special consideration for women of color and women pursuing credentials in nontraditional fields.</t>
  </si>
  <si>
    <t xml:space="preserve">Merit review of the applicant's career-development plan, financial need, likelihood of workforce impact, and alignment with AAUW's mission to advance women, with special-consideration criteria for underrepresented applicants</t>
  </si>
  <si>
    <t xml:space="preserve">A clear, realistic plan tying the training to a concrete re-entry or advancement outcome; demonstrated need; fields where women are underrepresented</t>
  </si>
  <si>
    <t xml:space="preserve">https://www.aauw.org/resources/programs/career-development-grants/</t>
  </si>
  <si>
    <t xml:space="preserve">Active for 2026-2027 (multiple application rounds Aug 2025 - May 2026; project start Sep 1 - Dec 30, 2026). This is a career-development/education grant for women re-entering or advancing in the workforce rather than a research-project grant; included as the private-foundation re-entry option. AAUW is a national nonprofit membership/philanthropic organization (could alternatively be coded professional_society).</t>
  </si>
  <si>
    <t xml:space="preserve">Beckman Young Investigator (BYI) Program</t>
  </si>
  <si>
    <t xml:space="preserve">Arnold and Mabel Beckman Foundation</t>
  </si>
  <si>
    <t xml:space="preserve">physical_sciences, life_sciences</t>
  </si>
  <si>
    <t xml:space="preserve">Support early-career faculty pursuing creative research that opens new avenues in chemistry and the life sciences through new methods, instruments and materials.</t>
  </si>
  <si>
    <t xml:space="preserve">institution_type_restriction=nonprofit_only per the explicit 501(c)(3) requirement (government labs excluded). Prior-funding cap ($225k), 10-year post-PhD limit, and citizenship requirement all confirmed on the funder page 2026-07-18.</t>
  </si>
  <si>
    <t xml:space="preserve">~$600,000 over 4 years ($150,000/yr)</t>
  </si>
  <si>
    <t xml:space="preserve">Within the first 4 years of a tenure-track (or equivalent) faculty appointment with an active independent lab; no more than 10 years post-PhD (or MD/MD-PhD residency completed within 10 yrs)</t>
  </si>
  <si>
    <t xml:space="preserve">yes: applicants may hold no more than $225,000 in direct annualized external grant funding at application/year 1; start-up funds, departmental instrumentation grants, and transition grants (e.g., NIH K99/R00) are excluded from that cap (verified 2026-07-18)</t>
  </si>
  <si>
    <t xml:space="preserve">US citizenship or permanent residency required by the interview stage (pending-PR eligible at LOI). Must be at a US 501(c)(3) or similar nonprofit institution; government labs (including NIH and national labs) are ineligible.</t>
  </si>
  <si>
    <t xml:space="preserve">Innovative, high-risk research in chemistry and the life sciences, especially inventing new methods, instruments and materials</t>
  </si>
  <si>
    <t xml:space="preserve">https://www.beckman-foundation.org/programs/beckman-young-investigator/</t>
  </si>
  <si>
    <t xml:space="preserve">Career Award at the Scientific Interface (CASI)</t>
  </si>
  <si>
    <t xml:space="preserve">Burroughs Wellcome Fund</t>
  </si>
  <si>
    <t xml:space="preserve">postdoc, transition</t>
  </si>
  <si>
    <t xml:space="preserve">biomedical_health, physical_sciences, computing_math</t>
  </si>
  <si>
    <t xml:space="preserve">Foster the early career development of researchers with physical/mathematical/computational backgrounds whose work addresses biological questions.</t>
  </si>
  <si>
    <t xml:space="preserve">Transition award spanning postdoc-to-faculty; discipline-interface eligibility (not a disease topic), so topic_restricted=false. Domain spans physical_sciences/computing_math applied to biomedical. Prior-funding exclusion expanded 2026-07-18 to include NIH K99/R00 and other postdoc-to-faculty transition awards.</t>
  </si>
  <si>
    <t xml:space="preserve">$560,000 over 5 years</t>
  </si>
  <si>
    <t xml:space="preserve">5 years (advanced postdoc + first 3 years of faculty service)</t>
  </si>
  <si>
    <t xml:space="preserve">At least 12 but no more than 60 months (5 yrs) of postdoctoral research experience since the PhD; not yet holding a tenure-track faculty appointment</t>
  </si>
  <si>
    <t xml:space="preserve">yes: ineligible if you currently hold or have accepted (verbally or in writing) a tenure-track faculty appointment; ineligible if holding an NIH K99/R00 or another postdoc-to-faculty transition award (e.g., HHMI Hanna Gray Fellowship) (verified 2026-07-18 on the funder page); cannot concurrently hold another BWF award</t>
  </si>
  <si>
    <t xml:space="preserve">Requires a PhD in mathematics, physics, chemistry, computer science, statistics, or engineering applied to biological questions. Open to US/Canada citizens, permanent residents, or temporary residents with a valid US/Canada visa. At least one first-author publication required. Direct application via ProposalCentral (LOI then full application).</t>
  </si>
  <si>
    <t xml:space="preserve">Interdisciplinary research bridging physical/mathematical/computational sciences with biology; potential of the investigator</t>
  </si>
  <si>
    <t xml:space="preserve">https://www.bwfund.org/funding-opportunities/career-awards-at-the-scientific-interface/</t>
  </si>
  <si>
    <t xml:space="preserve">Career Awards for Medical Scientists (CAMS)</t>
  </si>
  <si>
    <t xml:space="preserve">Bridge advanced postdoctoral/fellowship training and the early faculty years to support physician-scientists committed to research careers.</t>
  </si>
  <si>
    <t xml:space="preserve">Physician-scientist transition/bridge award -&gt; career_development_award; career_stage flags physician_scientist and transition. $700k/5yr and prior-funding set confirmed 2026-07-18.</t>
  </si>
  <si>
    <t xml:space="preserve">$700,000 over 5 years</t>
  </si>
  <si>
    <t xml:space="preserve">5 years (up to 2 years postdoc + faculty phase)</t>
  </si>
  <si>
    <t xml:space="preserve">Physician-scientists (MD, DO, or equivalent clinical degree) in advanced postdoctoral/fellowship training transitioning to early faculty; tenure-track assistant professors are ineligible</t>
  </si>
  <si>
    <t xml:space="preserve">yes: NIH K99/R00 and Early Independence (DP5) awardees ineligible, and CAMS funds cannot be received concurrently with a K99 or DP5; K08/K12/K21/K23 awardees remain eligible (verified 2026-07-18 on the funder FAQ)</t>
  </si>
  <si>
    <t xml:space="preserve">PhD-only, PharmD, and PharmD/PhD applicants are ineligible (CASI is the analog for physical-science PhDs). Based at a US/Canada institution; clinical degree may be from any country. No nomination required but institutional approval is required. Requires &gt;=75% research effort (may be negotiated if awarded).</t>
  </si>
  <si>
    <t xml:space="preserve">~12% success rate (funder-reported historical)</t>
  </si>
  <si>
    <t xml:space="preserve">Physician-scientist's research potential and commitment to an academic research career (&gt;=75% research effort)</t>
  </si>
  <si>
    <t xml:space="preserve">https://www.bwfund.org/grants/biomedical-sciences/career-awards-for-medical-scientists/</t>
  </si>
  <si>
    <t xml:space="preserve">Investigators in the Pathogenesis of Infectious Disease (PATH)</t>
  </si>
  <si>
    <t xml:space="preserve">Support early-career investigators studying the fundamental mechanisms of infectious disease pathogenesis.</t>
  </si>
  <si>
    <t xml:space="preserve">Research grant to early-career faculty in a defined disease area (topic_restricted=true). research_stage=exploratory_highrisk reflects BWF's emphasis on bold, multidisciplinary approaches by assistant professors.</t>
  </si>
  <si>
    <t xml:space="preserve">$505,000 over 5 years</t>
  </si>
  <si>
    <t xml:space="preserve">Assistant professors (early independent faculty) bringing multidisciplinary approaches to human infectious disease pathogenesis</t>
  </si>
  <si>
    <t xml:space="preserve">Pathogenesis of infectious disease / host-pathogen interactions</t>
  </si>
  <si>
    <t xml:space="preserve">US/Canada institution. Direct application via ProposalCentral (LOI then invited full proposal). $505k/5yr and assistant-professor eligibility confirmed 2026-07-18.</t>
  </si>
  <si>
    <t xml:space="preserve">Creative, multidisciplinary research illuminating the fundamentals of human-pathogen interactions (colonization, infection, commensalism)</t>
  </si>
  <si>
    <t xml:space="preserve">https://www.bwfund.org/grants/infectious-diseases/investigators-in-the-pathogenesis-of-infectious-disease/</t>
  </si>
  <si>
    <t xml:space="preserve">Postdoctoral Enrichment Program (PDEP)</t>
  </si>
  <si>
    <t xml:space="preserve">Support the career development and retention of postdoctoral fellows who advance diversity, equity and inclusion in the biomedical/STEM workforce.</t>
  </si>
  <si>
    <t xml:space="preserve">Career-development/enrichment supplement (not a primary stipend) -&gt; career_development_award. identity_gate_type=prioritizes: the former race/ethnicity restriction was replaced post-SFFA by a commitment-to-equal-access criterion any applicant can meet, while the criterion still explicitly references membership in underrepresented groups. $60k/3yr and 48-month/5-year windows confirmed 2026-07-18. Partners with Charles H. Revson Foundation for up to 5 NY-metro fellowships.</t>
  </si>
  <si>
    <t xml:space="preserve">$60,000 over 3 years (career development activities)</t>
  </si>
  <si>
    <t xml:space="preserve">No more than 48 months of postdoctoral experience and no more than 5 years from the PhD at application; in a mentored postdoc at a US/Canada degree-granting institution</t>
  </si>
  <si>
    <t xml:space="preserve">Applicants must be citizens of the US or Canada at the deadline. POST-SFFA (verified 2026-07-18 on the funder page): eligibility is COMMITMENT-BASED and open to all - applicants must have demonstrated a commitment to promoting equal access and opportunity in science, 'which may be informed by membership in groups historically underrepresented in the sciences, first-generation college students and those from disadvantaged socioeconomic backgrounds.' Program renamed from 'Postdoctoral Diversity Enrichment Program.'</t>
  </si>
  <si>
    <t xml:space="preserve">Demonstrated commitment to promoting equal access and opportunity in science; strength of the career development/research plan</t>
  </si>
  <si>
    <t xml:space="preserve">https://www.bwfund.org/grants/diversity-in-science/postdoctoral-enrichment-program/</t>
  </si>
  <si>
    <t xml:space="preserve">Damon Runyon Clinical Investigator Award</t>
  </si>
  <si>
    <t xml:space="preserve">Damon Runyon Cancer Research Foundation</t>
  </si>
  <si>
    <t xml:space="preserve">early_career_faculty, physician_scientist</t>
  </si>
  <si>
    <t xml:space="preserve">Support early-career physician-scientists conducting patient-oriented cancer research to bridge to research independence.</t>
  </si>
  <si>
    <t xml:space="preserve">Early-career physician-scientist bridge award with salary support -&gt; career_development_award; distinct from the postdoctoral Damon Runyon Fellowship. Amounts ($600k/3yr, $200k/yr, up to $130k salary) and expanded R01/R01-equivalent exclusion confirmed 2026-07-18.</t>
  </si>
  <si>
    <t xml:space="preserve">$600,000 over 3 years ($200,000/yr; salary support up to $130,000/yr)</t>
  </si>
  <si>
    <t xml:space="preserve">Physician-scientists within the first 4 years of an independent Assistant Professor (or equivalent) appointment at a US institution; MD, DO, or MD/PhD with completed subspecialty training and US board eligibility</t>
  </si>
  <si>
    <t xml:space="preserve">Cancer (patient-oriented/clinical investigation)</t>
  </si>
  <si>
    <t xml:space="preserve">yes: ineligible if holding or awarded an R01 or R01-equivalent grant (e.g., DP2, DP5) at application (verified 2026-07-18); NIH/DoD/VA physician-scientist career development (K-type) awards are permitted concurrently, but concurrent private-foundation mentored awards are not</t>
  </si>
  <si>
    <t xml:space="preserve">Requires a valid, active US medical license at application; US institution; funds exclude indirect costs/overhead. Instructor/adjunct/acting positions ineligible.</t>
  </si>
  <si>
    <t xml:space="preserve">Disease-oriented, patient-focused cancer research aimed at improving the practice of cancer medicine; investigator potential</t>
  </si>
  <si>
    <t xml:space="preserve">https://www.damonrunyon.org/for-scientists/application-guidelines/clinical-investigator</t>
  </si>
  <si>
    <t xml:space="preserve">Damon Runyon Fellowship Award</t>
  </si>
  <si>
    <t xml:space="preserve">Support exceptionally promising postdoctoral scientists conducting cancer research under an established mentor.</t>
  </si>
  <si>
    <t xml:space="preserve">years_since_degree_max left null because the basic-scientist cap is 18 months and the physician-scientist track keys off training completion rather than a clean integer-year degree cap; both captured in eligibility_window. Stipend ($70k-$76k escalating) and K-award exclusion confirmed 2026-07-18.</t>
  </si>
  <si>
    <t xml:space="preserve">$70,000-$76,000/yr stipend (escalating by year) + $2,000/yr expense allowance</t>
  </si>
  <si>
    <t xml:space="preserve">Up to 4 years</t>
  </si>
  <si>
    <t xml:space="preserve">Postdoctoral trainees; basic scientists no more than 18 months past the terminal degree and &lt;=1 year in the sponsor's lab at the deadline; physician-scientists must have completed clinical training and be US board eligible at start</t>
  </si>
  <si>
    <t xml:space="preserve">Cancer research (all theoretical and experimental research relevant to cancer)</t>
  </si>
  <si>
    <t xml:space="preserve">yes: candidates holding or awarded NIH K awards at application are ineligible (institutional K12 must be relinquished if awarded); may not have already accepted another postdoctoral fellowship award; a T32 may be held at application but not concurrently with the Damon Runyon award; cannot pursue additional degrees during the fellowship (verified 2026-07-18)</t>
  </si>
  <si>
    <t xml:space="preserve">Accepted degrees: MD, PhD, MD/PhD, DDS, DVM, DO. Foreign candidates may apply only to do their research in the US. Requires a Sponsor (tenured/tenure-track mentor). Two application cycles per year (cadence recorded as annual/recurring; enum lacks semiannual).</t>
  </si>
  <si>
    <t xml:space="preserve">Quality and creativity of the research proposal and the applicant; strength of the sponsor and training environment</t>
  </si>
  <si>
    <t xml:space="preserve">https://www.damonrunyon.org/for-scientists/application-guidelines/fellowship</t>
  </si>
  <si>
    <t xml:space="preserve">Packard Fellowships for Science and Engineering</t>
  </si>
  <si>
    <t xml:space="preserve">David and Lucile Packard Foundation</t>
  </si>
  <si>
    <t xml:space="preserve">physical_sciences, life_sciences, engineering, computing_math</t>
  </si>
  <si>
    <t xml:space="preserve">Provide flexible funding to early-career scientists and engineers to pursue their most innovative, high-risk ideas.</t>
  </si>
  <si>
    <t xml:space="preserve">Limited submission via 50 invited (US) institutions -&gt; institutional_nomination_limited. $875,000/5yr and 20 Fellows/50 institutions confirmed verbatim on the funder page 2026-07-18.</t>
  </si>
  <si>
    <t xml:space="preserve">$875,000 over 5 years</t>
  </si>
  <si>
    <t xml:space="preserve">Within the first three years of their faculty career; eligible to serve as a principal investigator</t>
  </si>
  <si>
    <t xml:space="preserve">Eligible disciplines: physics, chemistry, mathematics, biology, astronomy, computer science, earth science, ocean science, and all branches of engineering. Excludes social sciences, clinical research, research needing large national facilities, and national-security-relevant applied research. Only faculty at the 50 Invited Institutions may be nominated.</t>
  </si>
  <si>
    <t xml:space="preserve">20 Fellows/year selected from 50 invited institutions (confirmed on funder page 2026-07-18)</t>
  </si>
  <si>
    <t xml:space="preserve">Foundation weights creativity and promise of early-career faculty for innovative, high-risk research</t>
  </si>
  <si>
    <t xml:space="preserve">https://www.packard.org/approach/fellowships-for-science-engineering/eligibility/</t>
  </si>
  <si>
    <t xml:space="preserve">Klingenstein Fellowship Awards in the Neurosciences (formerly Klingenstein-Simons)</t>
  </si>
  <si>
    <t xml:space="preserve">Esther A. &amp; Joseph Klingenstein Fund</t>
  </si>
  <si>
    <t xml:space="preserve">research_project, salary_stipend</t>
  </si>
  <si>
    <t xml:space="preserve">Support promising early-career neuroscientists pursuing bold basic or clinical neuroscience research.</t>
  </si>
  <si>
    <t xml:space="preserve">Task listed this as 'Klingenstein-Simons'; verified 2026-07-18 that the Simons partnership is no longer referenced on the funder page. Current award confirmed as $150k/yr x3 = $450k on the funder's applying page.</t>
  </si>
  <si>
    <t xml:space="preserve">$150,000/yr for 3 years ($450,000 total)</t>
  </si>
  <si>
    <t xml:space="preserve">Early-career independent investigators with a primary tenure-track appointment at a US institution; maximum 4 years between completion of the last postdoc and the application deadline</t>
  </si>
  <si>
    <t xml:space="preserve">Neuroscience (basic or clinical)</t>
  </si>
  <si>
    <t xml:space="preserve">no strict prohibition; applicants must disclose other funding sources</t>
  </si>
  <si>
    <t xml:space="preserve">US institution; PhD and/or MD; must be an independent investigator. Verified 2026-07-18: the current standing program is the Klingenstein-only 'Klingenstein Fellowship Awards in the Neurosciences' - the funder's applying page makes no mention of a Simons partnership (the 2013-2024 Klingenstein-Simons collaboration has ended).</t>
  </si>
  <si>
    <t xml:space="preserve">Innovative early-career neuroscience research across cellular/molecular, neural-systems, or translational areas</t>
  </si>
  <si>
    <t xml:space="preserve">https://klingenstein.org/esther-a-joseph-klingenstein-fund/neuroscience/applying/</t>
  </si>
  <si>
    <t xml:space="preserve">HHMI Freeman Hrabowski Scholars Program</t>
  </si>
  <si>
    <t xml:space="preserve">Howard Hughes Medical Institute (HHMI)</t>
  </si>
  <si>
    <t xml:space="preserve">salary_stipend, research_project, career_development</t>
  </si>
  <si>
    <t xml:space="preserve">Support early-career faculty who are scientific leaders committed to inclusive lab environments; named for Freeman Hrabowski, a champion of diversity in STEM.</t>
  </si>
  <si>
    <t xml:space="preserve">career_development_award reflects early-career faculty support plus a required leadership/mentoring component. identity_gate_type=prioritizes retained on mission/selection grounds ('inclusive lab leadership' is a stated selection criterion + diversity namesake); current ELIGIBILITY is open/identity-neutral post-SFFA (borderline - eligibility alone reads as none).</t>
  </si>
  <si>
    <t xml:space="preserve">Full HHMI salary + benefits (HHMI employee) + generous annual research budget (no fixed dollar figure published)</t>
  </si>
  <si>
    <t xml:space="preserve">5-year initial term, renewable for a second 5 years after midpoint review</t>
  </si>
  <si>
    <t xml:space="preserve">No more than 7 years directing a lab / since first independent tenure-track appointment (Dec 15, 2019-Dec 15, 2026 window); holds or has accepted a tenure-track faculty position starting by May 1, 2028</t>
  </si>
  <si>
    <t xml:space="preserve">Basic biological/biomedical sciences at an HHMI-eligible US institution; US work authorization required (visa sponsorship available). POST-SFFA (verified 2026-07-18 on hhmi.org/programs/freeman-hrabowski-scholars): eligibility is identity-neutral - 'We encourage applications from individuals of all backgrounds, experiences, and perspectives.' No race/ethnicity gate; the diversity orientation now lives in the namesake mission and the 'inclusive lab leadership' selection criterion rather than in eligibility.</t>
  </si>
  <si>
    <t xml:space="preserve">Scientific excellence and potential to be models of inclusive lab leadership ('people, not projects')</t>
  </si>
  <si>
    <t xml:space="preserve">https://www.hhmi.org/programs/freeman-hrabowski-scholars</t>
  </si>
  <si>
    <t xml:space="preserve">Serves as the faculty phase for Hanna Gray Fellows. 2028 competition opens Nov 3, 2026.</t>
  </si>
  <si>
    <t xml:space="preserve">HHMI Gilliam Fellowships for Advanced Study</t>
  </si>
  <si>
    <t xml:space="preserve">Support PhD students and their advisors to build a more inclusive, excellent scientific community.</t>
  </si>
  <si>
    <t xml:space="preserve">Student-advisor pair structure; funds the student. identity_gate_type=prioritizes: inclusion is an explicit CURRENT selection value ('advancing excellence and inclusion in science') and the program historically emphasized URM PhD students, though eligibility itself is open. Direct application via HHMI ARC; no institutional nomination -&gt; submission_path=individual_direct.</t>
  </si>
  <si>
    <t xml:space="preserve">Annual stipend plus discretionary and institutional (tuition/fee) allowances (exact stipend not stated on current page)</t>
  </si>
  <si>
    <t xml:space="preserve">Up to 3 years of PhD support (optional additional years as a Gilliam Postdoc Fellow)</t>
  </si>
  <si>
    <t xml:space="preserve">2nd or 3rd year PhD students (as of Oct 27, 2026) with at least 2 full years of PhD study remaining; applies as a student-PhD-advisor (mentor-mentee) pair</t>
  </si>
  <si>
    <t xml:space="preserve">Basic biological/biomedical sciences at an HHMI-eligible US institution. Open to US citizens, permanent residents, DACA recipients, or international students eligible to receive funding from their US grad institution. Applies jointly with the faculty PhD advisor (mentor-mentee pair). POST-SFFA (verified 2026-07-18 on hhmi.org/programs/gilliam-fellows): 'We encourage applications from individuals of all backgrounds' - no race/ethnicity eligibility restriction; 'advancing excellence and inclusion in science' is retained as an explicit selection value.</t>
  </si>
  <si>
    <t xml:space="preserve">Research promise, commitment to a scientific career, leadership potential, and advancing excellence and inclusion in science</t>
  </si>
  <si>
    <t xml:space="preserve">https://www.hhmi.org/programs/gilliam-fellows</t>
  </si>
  <si>
    <t xml:space="preserve">HHMI Hanna H. Gray Fellows Program</t>
  </si>
  <si>
    <t xml:space="preserve">salary_stipend, career_development, research_project</t>
  </si>
  <si>
    <t xml:space="preserve">Support outstanding early-career scientists through the postdoc-to-faculty transition and build a more diverse, excellent scientific community.</t>
  </si>
  <si>
    <t xml:space="preserve">identity_gate_type=prioritizes retained on MISSION grounds (stated purpose to build a more diverse scientific community; pairing with the diversity-oriented Freeman Hrabowski faculty phase). Current ELIGIBILITY is fully open/identity-neutral post-SFFA - a borderline call, since eligibility alone would read as 'none'. Cadence biennial per program page (2028 competition opens Nov 3, 2026).</t>
  </si>
  <si>
    <t xml:space="preserve">Salary/stipend commensurate with postdoc experience + additional support (postdoc phase); faculty-phase support delivered via the Freeman Hrabowski Scholars Program (no fixed dollar figure published)</t>
  </si>
  <si>
    <t xml:space="preserve">Up to 2 years (postdoc phase), then transitions to faculty phase</t>
  </si>
  <si>
    <t xml:space="preserve">No more than 7 years of postdoctoral experience (as of Dec 15, 2026); holds a PhD and/or MD; transitioning toward a first independent tenure-track faculty position</t>
  </si>
  <si>
    <t xml:space="preserve">Must have (or be eligible to obtain) US work authorization and be at an HHMI-eligible US institution; visa sponsorship available. POST-SFFA (verified 2026-07-18 on hhmi.org/programs/hanna-h-gray-fellows): eligibility is identity-neutral - current page states 'HHMI seeks a broad applicant pool. We encourage applications from individuals of all backgrounds, experiences, and perspectives, including from institutions not previously affiliated with HHMI.' The explicit pre-2024 emphasis on groups underrepresented in biomedical research has been removed from the eligibility text; the diversity orientation now persists only in the program's stated purpose.</t>
  </si>
  <si>
    <t xml:space="preserve">Scientific promise and creativity of the individual and potential to become an independent faculty leader ('people, not projects')</t>
  </si>
  <si>
    <t xml:space="preserve">https://www.hhmi.org/programs/hanna-h-gray-fellows</t>
  </si>
  <si>
    <t xml:space="preserve">Faculty phase is the Freeman Hrabowski Scholars Program.</t>
  </si>
  <si>
    <t xml:space="preserve">HHMI Investigator Program</t>
  </si>
  <si>
    <t xml:space="preserve">Provide long-term, flexible support to exceptional investigators to pursue bold, high-risk basic biomedical research.</t>
  </si>
  <si>
    <t xml:space="preserve">Classified research_grant (flexible long-term investigator support) rather than career_development_award because it targets established mid/senior investigators. Foundation review weights individual trajectory/creativity over a defined project. Award value is salary-based (no fixed grant figure), confirmed 2026-07-18 on the funder page.</t>
  </si>
  <si>
    <t xml:space="preserve">Full HHMI salary + benefits + research and capital-equipment support (multi-million over term; no fixed dollar figure published)</t>
  </si>
  <si>
    <t xml:space="preserve">7-year appointment, renewable indefinitely with review</t>
  </si>
  <si>
    <t xml:space="preserve">Mid-career/senior faculty with at least 7 years as an independent lab head; no upper career-stage limit</t>
  </si>
  <si>
    <t xml:space="preserve">Must be at an HHMI-eligible US research institution; Investigators become HHMI employees. No explicit citizenship requirement stated. Verified 2026-07-18: standing program, next competition opens Sept 28, 2027 (~5-year cycle); page notes recently expanded eligibility.</t>
  </si>
  <si>
    <t xml:space="preserve">Selects for individual scientific creativity, originality and potential for transformative long-term research; HHMI funds 'people, not projects'</t>
  </si>
  <si>
    <t xml:space="preserve">https://www.hhmi.org/programs/investigators</t>
  </si>
  <si>
    <t xml:space="preserve">Standing flagship program. HHMI has run periodic special/limited competitions but the durable mechanism is the ~5-yearly Investigator competition (next opens Sept 28, 2027).</t>
  </si>
  <si>
    <t xml:space="preserve">Searle Scholars Program</t>
  </si>
  <si>
    <t xml:space="preserve">Kinship Foundation (Searle Scholars Program)</t>
  </si>
  <si>
    <t xml:space="preserve">biomedical_health, life_sciences, physical_sciences</t>
  </si>
  <si>
    <t xml:space="preserve">Support the independent research of exceptional early-career scientists in the biomedical and chemical sciences.</t>
  </si>
  <si>
    <t xml:space="preserve">Sourced from searlescholars.org (the .net domain serves unrelated spam and must not be cited). Verified 2026-07-18: $450,000 over 3 years ($150k/yr) and 15 new awards/year confirmed verbatim on the funder's award-information page.</t>
  </si>
  <si>
    <t xml:space="preserve">$450,000 over 3 years ($150,000/yr, equal sums each year)</t>
  </si>
  <si>
    <t xml:space="preserve">Assistant professors who began their first tenure-track (or nearest-equivalent) independent appointment on or after ~May 1 of the year before the cycle (e.g., on/after May 1, 2025 for the current cycle)</t>
  </si>
  <si>
    <t xml:space="preserve">no (must be first tenure-track/independent appointment; a prior independent-investigator appointment disqualifies)</t>
  </si>
  <si>
    <t xml:space="preserve">Fields: biochemistry, cell biology, genetics, immunology, neuroscience, pharmacology, and related areas of chemistry, medicine and the biological sciences. Restricted to candidates nominated by participating institutions (non-nominated individuals cannot apply). NOTE: official site is searlescholars.org - searlescholars.net is an unaffiliated squatter/spam domain.</t>
  </si>
  <si>
    <t xml:space="preserve">15 new awards/year</t>
  </si>
  <si>
    <t xml:space="preserve">Creativity and potential of the young investigator; promise of high-impact research</t>
  </si>
  <si>
    <t xml:space="preserve">https://searlescholars.org/application-information/award-information/process-and-eligibility/</t>
  </si>
  <si>
    <t xml:space="preserve">McKnight Scholar Award</t>
  </si>
  <si>
    <t xml:space="preserve">McKnight Endowment Fund for Neuroscience</t>
  </si>
  <si>
    <t xml:space="preserve">Support neuroscientists early in their independent careers pursuing innovative research (historically emphasizing learning, memory and brain function).</t>
  </si>
  <si>
    <t xml:space="preserve">institution_type_restriction=nonprofit_only per 'independent investigators at not-for-profit research institutions in the United States.' $225,000 total ($75k/yr x3) and up to 10 scholars/year confirmed verbatim on the funder's scholar-awards page 2026-07-18. Source_url updated to the scholar-awards landing page (which carries the award amount).</t>
  </si>
  <si>
    <t xml:space="preserve">$225,000 over 3 years ($75,000/yr, equal installments)</t>
  </si>
  <si>
    <t xml:space="preserve">Independent investigators who have served at the rank of Assistant Professor for less than 5 years at the deadline (e.g., not appointed before Dec 1, 2021 for the 2026 cycle); early in establishing an independent lab</t>
  </si>
  <si>
    <t xml:space="preserve">Neuroscience</t>
  </si>
  <si>
    <t xml:space="preserve">Must be an independent investigator at a US not-for-profit research institution. An applicant may compete in at most two rounds during their career. Direct application (no LOI or nomination); reference letters requested after submission. Verified 2026-07-18.</t>
  </si>
  <si>
    <t xml:space="preserve">up to 10 scholars/year (~20 finalists invited to interview)</t>
  </si>
  <si>
    <t xml:space="preserve">Ability to solve significant problems in neuroscience; innovative and impactful research directions; commitment to an equitable, inclusive lab</t>
  </si>
  <si>
    <t xml:space="preserve">https://www.mcknight.org/programs/the-mcknight-endowment-fund-for-neuroscience/scholar-awards/</t>
  </si>
  <si>
    <t xml:space="preserve">Cottrell Scholar Award</t>
  </si>
  <si>
    <t xml:space="preserve">Research Corporation for Science Advancement</t>
  </si>
  <si>
    <t xml:space="preserve">Develop outstanding early-career teacher-scholars who excel at both research and undergraduate science education.</t>
  </si>
  <si>
    <t xml:space="preserve">Distinctive dual research + education 'teacher-scholar' model -&gt; research_stage=career_training and purpose includes community (science-education leadership). $120k/3yr and third-year eligibility confirmed 2026-07-18.</t>
  </si>
  <si>
    <t xml:space="preserve">$120,000 over 3 years</t>
  </si>
  <si>
    <t xml:space="preserve">Early-career tenure-track faculty in the third year of their first tenure-track appointment (e.g., started in calendar year 2023 for the 2026 cycle); no prior tenure-track experience</t>
  </si>
  <si>
    <t xml:space="preserve">no (must be in the third year of a first tenure-track appointment; prior tenure-track experience disqualifies)</t>
  </si>
  <si>
    <t xml:space="preserve">Primary or courtesy appointment in chemistry, physics or astronomy departments (also biochemistry/biophysics) that offer bachelor's/graduate degrees, at US/Canada research universities or primarily undergraduate institutions. Excludes schools of medicine and engineering (unless a joint/courtesy appointment in an eligible department). Verified 2026-07-18.</t>
  </si>
  <si>
    <t xml:space="preserve">Integrated quality of the research plan and the education/undergraduate-teaching plan (teacher-scholar model), plus academic citizenship</t>
  </si>
  <si>
    <t xml:space="preserve">https://rescorp.org/cottrell-scholars/cottrell-scholar-award/</t>
  </si>
  <si>
    <t xml:space="preserve">Junior Fellows of the Simons Society of Fellows</t>
  </si>
  <si>
    <t xml:space="preserve">Simons Foundation</t>
  </si>
  <si>
    <t xml:space="preserve">computing_math, physical_sciences, life_sciences, engineering</t>
  </si>
  <si>
    <t xml:space="preserve">Support outstanding early-career postdoctoral scientists pursuing independent research within a NYC-based interdisciplinary scholarly community.</t>
  </si>
  <si>
    <t xml:space="preserve">Active Simons Foundation postdoctoral mechanism; accepting 2027 nominations (verified 2026-07-18; stipend $102,799 for 2027/28 + $10,000 research allowance). Geographic restriction (NYC host institution) and mandatory senior-scientist nomination captured in eligibility_notes/submission_path. Status of the separate Simons Investigators program was not re-verified this cycle.</t>
  </si>
  <si>
    <t xml:space="preserve">~$102,799/yr stipend (2027/28) + $10,000 research allowance (3% annual increase; host institution receives 20% indirect)</t>
  </si>
  <si>
    <t xml:space="preserve">Early-postdoctoral fellows who fulfilled PhD requirements within ~2 years of the fellowship start (e.g., PhD May 2025-Aug 2027 for the 2027 cohort); cannot concurrently hold another fellowship or a tenure-track appointment</t>
  </si>
  <si>
    <t xml:space="preserve">yes: cannot be held concurrently with another fellowship or a tenure-track faculty appointment</t>
  </si>
  <si>
    <t xml:space="preserve">Host institution must be an educational institution in New York City (Manhattan, Brooklyn, Queens, Staten Island, or the Bronx). Requires nomination by a tenured/equivalent senior scientist (no self-nomination). No citizenship restriction stated. Verified 2026-07-18: program active and accepting 2027 nominations (close Sept 10, 2026).</t>
  </si>
  <si>
    <t xml:space="preserve">~15 Junior Fellows/year</t>
  </si>
  <si>
    <t xml:space="preserve">Scientific excellence and creativity of early-postdoctoral researchers across STEM</t>
  </si>
  <si>
    <t xml:space="preserve">https://www.simonsfoundation.org/grant/simons-society-of-fellows-nominations/</t>
  </si>
  <si>
    <t xml:space="preserve">Requires a senior-scientist nominator; NYC host-institution geographic gate.</t>
  </si>
  <si>
    <t xml:space="preserve">Pew Latin American Fellows Program in the Biomedical Sciences</t>
  </si>
  <si>
    <t xml:space="preserve">The Pew Charitable Trusts</t>
  </si>
  <si>
    <t xml:space="preserve">salary_stipend, training, career_development</t>
  </si>
  <si>
    <t xml:space="preserve">Enable young Latin American scientists to train in leading US labs and return to establish research careers in Latin America.</t>
  </si>
  <si>
    <t xml:space="preserve">The Latin-America-origin + return-mobility requirement is a citizenship/geographic criterion, not a demographic identity gate, so identity_targeting=none / identity_gate_type=n/a. Confidence medium: amounts and windows not confirmable on the funder's own project page (directs to a separate FAQ).</t>
  </si>
  <si>
    <t xml:space="preserve">$30,000/yr for 2 years (postdoc stipend supplement) + a return award (~$70,000) for establishing an independent lab in Latin America (est.; not published on funder page)</t>
  </si>
  <si>
    <t xml:space="preserve">2 years (postdoc) plus a return/independent-lab award</t>
  </si>
  <si>
    <t xml:space="preserve">PhD or MD completed no earlier than ~June 2021 and by ~Feb 2027 (roughly &lt;=6 yrs); postdoctoral training in a US sponsor's lab; commitment to return to Latin America</t>
  </si>
  <si>
    <t xml:space="preserve">Nationality/geographic gate (captured in citizenship_residency=other): applicants must have earned their doctorate at a Latin American institution and commit to returning to build a research career in Latin America; postdoc must be hosted by a US PI sponsor who is not the applicant's PhD advisor. Verified 2026-07-18: the funder project page confirms the program is active and directs to a 2027-class FAQ but does NOT publish amounts, precise timing windows, or fellow counts on the project page - hence confidence=medium and est. figures.</t>
  </si>
  <si>
    <t xml:space="preserve">~10 fellows/year (est.)</t>
  </si>
  <si>
    <t xml:space="preserve">Promise as a future scientific leader in Latin America; strength of the US training plan and sponsor</t>
  </si>
  <si>
    <t xml:space="preserve">https://www.pew.org/en/projects/pew-latin-american-fellows</t>
  </si>
  <si>
    <t xml:space="preserve">Pew Scholars Program in the Biomedical Sciences</t>
  </si>
  <si>
    <t xml:space="preserve">Support early-career biomedical researchers of outstanding promise pursuing innovative, high-risk approaches to advancing human health.</t>
  </si>
  <si>
    <t xml:space="preserve">Confidence medium because the exact award amount is not confirmable on the funder's own page (only career stage and nomination structure are). Limited nomination -&gt; institutional_nomination_limited.</t>
  </si>
  <si>
    <t xml:space="preserve">$300,000 total ($75,000/yr over 4 years) (est.)</t>
  </si>
  <si>
    <t xml:space="preserve">Early-career junior faculty in the first few years of an assistant-professor-level appointment; hold a doctorate (PhD, MD, or equivalent)</t>
  </si>
  <si>
    <t xml:space="preserve">Nomination limited to invited US academic institutions (one candidate each). Verified 2026-07-18: the funder project page confirms career stage and nomination structure but does NOT publish the dollar amount or duration; the $75k/yr x 4-year ($300k) figure is the established program parameter, hence marked est. and confidence=medium.</t>
  </si>
  <si>
    <t xml:space="preserve">~21 scholars selected from ~211 nominated applicants (2026 class, per pew.org)</t>
  </si>
  <si>
    <t xml:space="preserve">Outstanding promise in science relevant to human health; bridging new technologies with creative/innovative approaches</t>
  </si>
  <si>
    <t xml:space="preserve">https://www.pew.org/en/projects/pew-biomedical-scholars</t>
  </si>
  <si>
    <t xml:space="preserve">Milton Safenowitz Postdoctoral Fellowship Program</t>
  </si>
  <si>
    <t xml:space="preserve">ALS Association</t>
  </si>
  <si>
    <t xml:space="preserve">disease_advocacy</t>
  </si>
  <si>
    <t xml:space="preserve">Encourages promising postdocs to enter and remain in ALS research; supports high-merit, ALS-relevant projects.</t>
  </si>
  <si>
    <t xml:space="preserve">Up to $150,000 over 2 years (~$75,000/yr)</t>
  </si>
  <si>
    <t xml:space="preserve">Junior postdocs &lt;=2 years since PhD or since completing postgraduate clinical training (at LOI deadline)</t>
  </si>
  <si>
    <t xml:space="preserve">amyotrophic lateral sclerosis (ALS)</t>
  </si>
  <si>
    <t xml:space="preserve">not applicable (junior postdoctoral fellowship)</t>
  </si>
  <si>
    <t xml:space="preserve">Open to researchers completing training anywhere in the world; no citizenship/residency restriction (confirmed on page). Two-stage (LOI + full proposal). Fellows join the Postdoctoral Fellowship Consortium.</t>
  </si>
  <si>
    <t xml:space="preserve">ALS Association Scientific Review Committee: scientific merit and relevance to ALS, candidate potential, mentor/environment.</t>
  </si>
  <si>
    <t xml:space="preserve">https://www.als.org/research/research-we-fund/fellowships/milton-safenowitz-postdoc-fellowship-program</t>
  </si>
  <si>
    <t xml:space="preserve">Verified on funder page 2026-07-18: up to $150,000 over 2 years; &lt;2 years since PhD at LOI deadline; no citizenship restriction. Annual cycle. Named for Milton Safenowitz.</t>
  </si>
  <si>
    <t xml:space="preserve">Alzheimer's Association Research Fellowship (AARF)</t>
  </si>
  <si>
    <t xml:space="preserve">Alzheimer's Association</t>
  </si>
  <si>
    <t xml:space="preserve">Supports early-career postdoctoral researchers across basic, translational, clinical, functional, and social-behavioral Alzheimer's/dementia research.</t>
  </si>
  <si>
    <t xml:space="preserve">Up to $200,000 total (research &lt;=$180k; &lt;=$70k/yr direct+indirect; + $12,500 travel over award; + two $10,000 completion stipends)</t>
  </si>
  <si>
    <t xml:space="preserve">2-3 years</t>
  </si>
  <si>
    <t xml:space="preserve">Postdocs/research scientists/instructors with less than 10 years since doctorate or other terminal degree; Assistant Professor rank or above ineligible</t>
  </si>
  <si>
    <t xml:space="preserve">Alzheimer's disease and related dementias</t>
  </si>
  <si>
    <t xml:space="preserve">yes: Assistant Professor rank or above ineligible; capped to &lt;10 yrs post-doctorate (postdoctoral fellowship rung, not an independent-investigator grant)</t>
  </si>
  <si>
    <t xml:space="preserve">50% research effort; AAIC attendance required. Open to U.S. and international researchers (subject to U.S. sanctions). Assistant Professor rank or above ineligible (confirmed on page).</t>
  </si>
  <si>
    <t xml:space="preserve">Alzheimer's Association peer review: scientific merit, relevance to Alzheimer's/dementia, applicant potential, training environment.</t>
  </si>
  <si>
    <t xml:space="preserve">https://www.alz.org/research/for_researchers/grants/types-of-grants/alzheimer_s_association_research_fellowship_-aarf</t>
  </si>
  <si>
    <t xml:space="preserve">Verified on funder page 2026-07-18: up to $200,000 total ($180k research direct+indirect at &lt;=$70k/yr; $12,500 travel; two $10,000 stipends), 2-3 years, &lt;10 yrs post-doctorate, AP+ ineligible. Sibling standing mechanism: AARG (Research Grant) for Assistant/Associate Professors. Variants: AARG-NTF, AARG-D, AARF-D (diversity).</t>
  </si>
  <si>
    <t xml:space="preserve">AACR Career Development Awards to Foster Diversity and Inclusion</t>
  </si>
  <si>
    <t xml:space="preserve">American Association for Cancer Research (AACR)</t>
  </si>
  <si>
    <t xml:space="preserve">Encourages and supports early-stage scientists engaged in basic, translational, or population cancer research with direct applicability to understanding, detecting, treating, or preventing cancer.</t>
  </si>
  <si>
    <t xml:space="preserve">identity_gate_type=prioritizes retained after SFFA re-check: current page imposes no demographic eligibility gate; underrepresented-group support is the program's stated intent. Not upgraded to restricted_to, not downgraded to none.</t>
  </si>
  <si>
    <t xml:space="preserve">$300,000 total (~$100,000/yr)</t>
  </si>
  <si>
    <t xml:space="preserve">Early-stage independent investigators; first independent faculty position no earlier than Sep 1, 2020 and no later than Sep 1, 2026 (~6-year window for current cycle)</t>
  </si>
  <si>
    <t xml:space="preserve">cancer</t>
  </si>
  <si>
    <t xml:space="preserve">gated by first-independent-appointment window (Sep 2020-Sep 2026); no R01/large-grant exclusion stated on the current page (any per-variant limits are in the individual RFA)</t>
  </si>
  <si>
    <t xml:space="preserve">Post-SFFA re-check (2026-07-18): current eligibility does NOT require race/ethnicity/demographic membership. Gates are degree (PhD/MD/equiv), faculty title (assistant professor/instructor/research assistant professor or equiv.), no clinical responsibilities, independent lab space, and AACR active membership. The 'Foster Diversity and Inclusion' framing is stated program intent, not an eligibility gate -&gt; identity_gate_type=prioritizes (soft), not restricted_to.</t>
  </si>
  <si>
    <t xml:space="preserve">AACR scientific peer review: scientific merit/innovation, applicant's career potential, cancer relevance.</t>
  </si>
  <si>
    <t xml:space="preserve">https://www.aacr.org/grants/aacr-career-development-awards-to-foster-diversity-and-inclusion/</t>
  </si>
  <si>
    <t xml:space="preserve">Verified on funder page 2026-07-18: $300,000 over 3 years; first independent appointment Sep 2020-Sep 2026; no demographic eligibility requirement. Represents AACR's broad Career Development Award family (multiple co-funded/disease-specific variants whose amounts/windows vary by sponsor); terms shown are for the Foster Diversity &amp; Inclusion variant.</t>
  </si>
  <si>
    <t xml:space="preserve">Research Scholar Grant (RSG)</t>
  </si>
  <si>
    <t xml:space="preserve">American Cancer Society</t>
  </si>
  <si>
    <t xml:space="preserve">Provides support for independent, self-directed early-career investigators pursuing investigator-initiated cancer research across the continuum within ACS priority areas.</t>
  </si>
  <si>
    <t xml:space="preserve">Early-independent-investigator research grant with career-development flavor; 8-yr window is from first faculty appointment, so years_since_degree_max=null.</t>
  </si>
  <si>
    <t xml:space="preserve">Up to $215,000/yr (direct) + 10% indirect</t>
  </si>
  <si>
    <t xml:space="preserve">Independent, full-time faculty &lt;=8 years since first independent/faculty appointment</t>
  </si>
  <si>
    <t xml:space="preserve">yes: PI on no more than one R01 or R01-equivalent (&gt;$100k direct/yr for &gt;3 yrs) at time of application; current/former RSG grantees cannot apply for a second RSG unless part of a special initiative</t>
  </si>
  <si>
    <t xml:space="preserve">U.S. academic institutions or eligible non-profits. Two cycles yearly (Jun 1 / Dec 1).</t>
  </si>
  <si>
    <t xml:space="preserve">ACS peer-review study sections: scientific merit, innovation, investigator, environment, cancer relevance.</t>
  </si>
  <si>
    <t xml:space="preserve">https://www.cancer.org/research/we-fund-cancer-research/apply-research-grant/grant-types/research-scholar-grants.html</t>
  </si>
  <si>
    <t xml:space="preserve">Verified on funder page 2026-07-18: up to $215,000/yr direct + 10% indirect, up to 4 years, &lt;=8 yrs since first faculty appointment, &lt;=1 R01/R01-equivalent, no second RSG unless special initiative. ACS also offers a separate standing Postdoctoral Fellowship (PF) mechanism.</t>
  </si>
  <si>
    <t xml:space="preserve">Pathway to Stop Diabetes - Initiator Award (INI)</t>
  </si>
  <si>
    <t xml:space="preserve">American Diabetes Association</t>
  </si>
  <si>
    <t xml:space="preserve">Finds scientists at the peak of their creativity and provides flexible, sustained resources to support the transition from mentored training to independent diabetes research faculty.</t>
  </si>
  <si>
    <t xml:space="preserve">CORRECTED submission_path individual_direct -&gt; institutional_nomination_limited: funder page explicitly states candidates are 'identified through institutional nomination.' Phased (Phase 1 mentored -&gt; Phase 2 independent) K99/R00-analog; classified career_development_award.</t>
  </si>
  <si>
    <t xml:space="preserve">Up to $100,000/yr (Phase 1, mentored, 10% indirect) then up to $325,000/yr (Phase 2, independent, 30% indirect); up to ~$1.625M total</t>
  </si>
  <si>
    <t xml:space="preserve">Up to 7 years (&lt;=2 yr mentored + &lt;=5 yr independent)</t>
  </si>
  <si>
    <t xml:space="preserve">residency_required</t>
  </si>
  <si>
    <t xml:space="preserve">Postdoctoral/research fellows, no more than 7 years of research training following terminal doctoral degree</t>
  </si>
  <si>
    <t xml:space="preserve">diabetes</t>
  </si>
  <si>
    <t xml:space="preserve">yes: cannot concurrently hold an NIH K99/R00 (Initiator). The sibling Accelerator track excludes those who have applied for/received a renewal or a second R01/U01.</t>
  </si>
  <si>
    <t xml:space="preserve">Candidates are identified through INSTITUTIONAL NOMINATION (each institution nominates a limited number). Must be authorized to work in the U.S. or U.S. possessions (residency/work-authorization gate). K99/R00-analog phased transition award; physician-scientists eligible. Includes mentorship + collaborative think tank.</t>
  </si>
  <si>
    <t xml:space="preserve">ADA Pathway (Mentor Advisory Group) review: scientific creativity and transformative potential, applicant trajectory, mentorship plan.</t>
  </si>
  <si>
    <t xml:space="preserve">https://professional.diabetes.org/research-grants/current-funding-opportunities-pathway-stop-diabetes</t>
  </si>
  <si>
    <t xml:space="preserve">Verified on funder page 2026-07-18: Phase 1 up to $100k/yr (10% indirect) + Phase 2 up to $325k/yr (30% indirect), ~$1.625M total, up to 7 yr, &lt;=7 yrs post-doctoral training, cannot hold concurrent K99/R00, identified through institutional nomination. Current page shows two tracks (Initiator, Accelerator); no Visionary track.</t>
  </si>
  <si>
    <t xml:space="preserve">Harry Shwachman Clinical Investigator Award</t>
  </si>
  <si>
    <t xml:space="preserve">Cystic Fibrosis Foundation</t>
  </si>
  <si>
    <t xml:space="preserve">early_career_faculty, transition, physician_scientist</t>
  </si>
  <si>
    <t xml:space="preserve">Provides clinically trained physicians the opportunity to develop into independent biomedical research investigators actively involved in cystic fibrosis-related areas.</t>
  </si>
  <si>
    <t xml:space="preserve">Classified career_development_award (physician-scientist salary+research award), not fellowship.</t>
  </si>
  <si>
    <t xml:space="preserve">$100,000/yr salary + $33,000 supplies (no indirect)</t>
  </si>
  <si>
    <t xml:space="preserve">Junior faculty and senior fellows; clinically trained physicians committed to CF research</t>
  </si>
  <si>
    <t xml:space="preserve">cystic fibrosis</t>
  </si>
  <si>
    <t xml:space="preserve">unspecified on page (junior-faculty/senior-fellow physician award intended to precede major independent funding; page defers to CFF 2026 Policies &amp; Guidelines for independent-funding limits)</t>
  </si>
  <si>
    <t xml:space="preserve">U.S. citizenship or permanent resident status required (confirmed on page 2026-07-18). Physician-scientist career-development (K-analog) award.</t>
  </si>
  <si>
    <t xml:space="preserve">CFF peer review: candidate's potential for research independence, biomedical research plan merit, mentorship, CF relevance.</t>
  </si>
  <si>
    <t xml:space="preserve">https://www.cff.org/researchers/harry-shwachman-clinical-investigator-award</t>
  </si>
  <si>
    <t xml:space="preserve">Verified on funder page 2026-07-18: up to $100,000/yr salary + $33,000 supplies, 3 yr, no indirect, junior faculty/senior fellows, US citizen/PR required. Related physician-scientist ladder rung: LeRoy Matthews Physician-Scientist Award (earlier stage).</t>
  </si>
  <si>
    <t xml:space="preserve">Pilot and Feasibility Award</t>
  </si>
  <si>
    <t xml:space="preserve">early_career_faculty, midcareer</t>
  </si>
  <si>
    <t xml:space="preserve">Supports novel-hypothesis pilot research to help promising new investigators establish in cystic fibrosis.</t>
  </si>
  <si>
    <t xml:space="preserve">Entry rung of the CFF ladder; classified seed_pilot.</t>
  </si>
  <si>
    <t xml:space="preserve">$50,000/yr + 12% indirect</t>
  </si>
  <si>
    <t xml:space="preserve">Promising new investigators establishing in CF, plus established investigators new to CF research</t>
  </si>
  <si>
    <t xml:space="preserve">no formal award-based exclusion; scoped to investigators new to CF research</t>
  </si>
  <si>
    <t xml:space="preserve">One P&amp;F application per year (Spring or Fall). Hypothesis-driven, innovative pilots. Citizenship not stated (qualifying host institution required).</t>
  </si>
  <si>
    <t xml:space="preserve">CFF peer review: innovation, feasibility, potential CF impact, investigator.</t>
  </si>
  <si>
    <t xml:space="preserve">https://www.cff.org/researchers/pilot-and-feasibility-awards</t>
  </si>
  <si>
    <t xml:space="preserve">Verified on funder page 2026-07-18: $50,000/yr + 12% indirect, up to 2 yr. Standing variant for clinical work: Clinical Pilot &amp; Feasibility Award. Path to a Cure P&amp;F (CFTR) also exists.</t>
  </si>
  <si>
    <t xml:space="preserve">Postdoctoral Research Fellowship Award</t>
  </si>
  <si>
    <t xml:space="preserve">Supports postdoctoral research training in cystic fibrosis.</t>
  </si>
  <si>
    <t xml:space="preserve">$75,000 (yr 1) / $76,000 (yr 2), no indirect</t>
  </si>
  <si>
    <t xml:space="preserve">Postdoctoral trainees (PhD, DVM, or PharmD) in CF-relevant research under a mentor</t>
  </si>
  <si>
    <t xml:space="preserve">not applicable (postdoctoral training award)</t>
  </si>
  <si>
    <t xml:space="preserve">For postdocs holding PhD/DVM/PharmD training in CF-relevant research; citizenship not stated (qualifying host institution required).</t>
  </si>
  <si>
    <t xml:space="preserve">CFF peer review: scientific merit, candidate potential, mentor/training environment, CF relevance.</t>
  </si>
  <si>
    <t xml:space="preserve">https://www.cff.org/researchers/academic-funding-opportunities</t>
  </si>
  <si>
    <t xml:space="preserve">Verified on funder page 2026-07-18: $75,000 yr1 / $76,000 yr2, 2 yr, no indirect. Separate standing variants: Clinical Postdoctoral Research Fellowship, Path to a Cure Postdoctoral Fellowship (CFTR), and Postdoc-to-Faculty Transition Award (postdoc-&gt;faculty rung).</t>
  </si>
  <si>
    <t xml:space="preserve">Research Grant</t>
  </si>
  <si>
    <t xml:space="preserve">Supports hypothesis-driven basic science to understand CF disease mechanisms and develop prevention/treatment strategies.</t>
  </si>
  <si>
    <t xml:space="preserve">Mechanism-level standing program; Spring &amp; Fall cycles collapsed to cadence=annual. Verified on funder page 2026-07-18: $150k/yr + 12% indirect, up to 2 yr competitively renewable, one app per year.</t>
  </si>
  <si>
    <t xml:space="preserve">$150,000/yr + 12% indirect</t>
  </si>
  <si>
    <t xml:space="preserve">Up to 2 years (competitively renewable)</t>
  </si>
  <si>
    <t xml:space="preserve">No stated career-stage cap; targets investigators with sufficient preliminary data</t>
  </si>
  <si>
    <t xml:space="preserve">no (open hypothesis-driven research grant; not an early-career-restricted mechanism)</t>
  </si>
  <si>
    <t xml:space="preserve">One Research Grant application per year (Spring or Fall cycle). Clinical intervention studies must use the Clinical Research Award; CFTR-focused work routes to Path to a Cure.</t>
  </si>
  <si>
    <t xml:space="preserve">CFF peer review: scientific merit, innovation, feasibility, relevance to CF, investigator qualifications.</t>
  </si>
  <si>
    <t xml:space="preserve">https://www.cff.org/researchers/research-grants</t>
  </si>
  <si>
    <t xml:space="preserve">Citizenship not stated on page; work performed at a qualifying host institution. Related standing variants: Path to a Cure Research Grant (same terms, CFTR focus), CFF/NIH R01 Unfunded bridge award.</t>
  </si>
  <si>
    <t xml:space="preserve">JDRF / Breakthrough T1D</t>
  </si>
  <si>
    <t xml:space="preserve">Attracts qualified and promising scientists early in their faculty careers and helps them establish in type 1 diabetes research.</t>
  </si>
  <si>
    <t xml:space="preserve">Confidence downgraded high-&gt;medium: existence confirmed on funder page but dollar figures unverified. Eligibility window measured from first faculty appointment, so years_since_degree_max=null.</t>
  </si>
  <si>
    <t xml:space="preserve">Up to $200,000/yr including up to 10% indirect (est.)</t>
  </si>
  <si>
    <t xml:space="preserve">Faculty-level (assistant professor or equivalent); first faculty appointment &lt;3 years before submission</t>
  </si>
  <si>
    <t xml:space="preserve">type 1 diabetes</t>
  </si>
  <si>
    <t xml:space="preserve">no explicit award-based exclusion stated; gated by early-faculty window (first appointment &lt;3 yrs before submission); &gt;=75% effort to T1D</t>
  </si>
  <si>
    <t xml:space="preserve">No citizenship requirement; open worldwide. Physician-scientists eligible.</t>
  </si>
  <si>
    <t xml:space="preserve">Breakthrough T1D peer review: T1D relevance/priority fit, scientific merit, applicant trajectory, feasibility.</t>
  </si>
  <si>
    <t xml:space="preserve">https://www.breakthrought1d.org/explore-research/funding-opportunities/</t>
  </si>
  <si>
    <t xml:space="preserve">Program CONFIRMED on funder page 2026-07-18 as a current FY27 standing Training Award. Award amount ($200k/yr incl. 10% indirect) and &lt;3-yr faculty window NOT re-verifiable on the public funding-opportunities page (defers to downloadable RFA; detail subpage 404) - carried from FY26 RFA and marked (est.). K-analog faculty award.</t>
  </si>
  <si>
    <t xml:space="preserve">Supports promising early-career scientists developing type 1 diabetes research expertise through structured mentorship and training.</t>
  </si>
  <si>
    <t xml:space="preserve">Confidence downgraded high-&gt;medium: existence confirmed on funder page but dollar figures unverified against current page.</t>
  </si>
  <si>
    <t xml:space="preserve">Stipend per experience-based (NIH NRSA-style) scale + $5,500/yr research/training allowance (est.)</t>
  </si>
  <si>
    <t xml:space="preserve">3 years (renewable up to 2 additional; max 5)</t>
  </si>
  <si>
    <t xml:space="preserve">&lt;=5 years since doctorate (PhD, MD, DMD, DVM, DO or equiv.), with career-interruption flexibility</t>
  </si>
  <si>
    <t xml:space="preserve">not an award gate, but may not concurrently hold an internship, residency, or another postdoctoral fellowship; &gt;=75% effort required</t>
  </si>
  <si>
    <t xml:space="preserve">No citizenship requirement; open to applicants worldwide. Requires a full-time affiliated sponsor/mentor.</t>
  </si>
  <si>
    <t xml:space="preserve">Breakthrough T1D peer review: relevance to T1D research priorities, scientific merit/innovation, candidate potential, mentor/training plan.</t>
  </si>
  <si>
    <t xml:space="preserve">Program CONFIRMED on funder page 2026-07-18 as a current FY27 standing Training Award. Exact stipend/allowance figures NOT re-verifiable on the public funding-opportunities page (site defers to downloadable RFA; detail subpage 404) - amounts carried from FY26/FY27 RFA and marked (est.). Breakthrough T1D is the current name for JDRF.</t>
  </si>
  <si>
    <t xml:space="preserve">Career Development Program - Fellow</t>
  </si>
  <si>
    <t xml:space="preserve">Leukemia &amp; Lymphoma Society (Blood Cancer United)</t>
  </si>
  <si>
    <t xml:space="preserve">Encourages early postdocs to embark on an academic career involving basic or translational research in hematologic malignancies.</t>
  </si>
  <si>
    <t xml:space="preserve">Entry rung of the CDP fellowship ladder.</t>
  </si>
  <si>
    <t xml:space="preserve">$70,000/yr (minimum $65,000/yr direct to awardee)</t>
  </si>
  <si>
    <t xml:space="preserve">Postdoctoral fellows/instructors with less than 3 years of postdoctoral training</t>
  </si>
  <si>
    <t xml:space="preserve">leukemia, lymphoma, and other hematologic malignancies</t>
  </si>
  <si>
    <t xml:space="preserve">Entry rung (&lt;3 yr postdoctoral training). Open worldwide.</t>
  </si>
  <si>
    <t xml:space="preserve">LLS/Blood Cancer United peer review: scientific merit, blood-cancer relevance, candidate potential, mentor/environment.</t>
  </si>
  <si>
    <t xml:space="preserve">https://bloodcancerunited.org/resources/newsroom/career-development-program-cdp</t>
  </si>
  <si>
    <t xml:space="preserve">Verified on funder page 2026-07-18: $70,000/yr (min $65,000/yr direct to awardee), 3 years, &lt;3 yr postdoctoral training. Blood Cancer United (formerly LLS).</t>
  </si>
  <si>
    <t xml:space="preserve">Career Development Program - Scholar</t>
  </si>
  <si>
    <t xml:space="preserve">Supports highly qualified independent investigators with a capacity for sustained original investigation in hematologic malignancies.</t>
  </si>
  <si>
    <t xml:space="preserve">Faculty-level rung of the LLS/BCU Career Development Program ladder.</t>
  </si>
  <si>
    <t xml:space="preserve">$120,000/yr</t>
  </si>
  <si>
    <t xml:space="preserve">Independent, tenure-track faculty investigators with demonstrated capacity for independent, sustained investigation; Full Professors ineligible</t>
  </si>
  <si>
    <t xml:space="preserve">requirement/exclusion: must already hold substantial research support awarded from a national agency; Full Professors ineligible (Scholar track)</t>
  </si>
  <si>
    <t xml:space="preserve">Rising-star independent tenure-track investigators; Full Professors ineligible. Sibling track: Scholar in Clinical Research ($125,000/yr, 5 yr) for independent clinician-researchers.</t>
  </si>
  <si>
    <t xml:space="preserve">LLS/Blood Cancer United peer review: scientific merit, relevance to blood cancers, investigator trajectory, environment.</t>
  </si>
  <si>
    <t xml:space="preserve">Verified on funder page 2026-07-18: $120,000/yr for 5 years; must hold substantial research support from a national agency; Full Professors ineligible. LLS rebranded to Blood Cancer United; program page redirects there. Open to investigators worldwide.</t>
  </si>
  <si>
    <t xml:space="preserve">Career Development Program - Special Fellow</t>
  </si>
  <si>
    <t xml:space="preserve">Provides the opportunity to continue building a research program that makes the fellow competitive for an independent position by the end of the award.</t>
  </si>
  <si>
    <t xml:space="preserve">Middle rung of the CDP fellowship ladder (above Fellow, below Scholar).</t>
  </si>
  <si>
    <t xml:space="preserve">$75,000/yr (minimum $70,000/yr direct to awardee)</t>
  </si>
  <si>
    <t xml:space="preserve">2 or 3 years</t>
  </si>
  <si>
    <t xml:space="preserve">Postdoctoral fellows/instructors with 3-5 years of postdoctoral training</t>
  </si>
  <si>
    <t xml:space="preserve">Senior-postdoc rung (3-5 yr training). Open worldwide.</t>
  </si>
  <si>
    <t xml:space="preserve">Verified on funder page 2026-07-18: $75,000/yr (min $70,000/yr direct to awardee), 2 or 3 years, 3-5 yr postdoctoral training. Blood Cancer United (formerly LLS).</t>
  </si>
  <si>
    <t xml:space="preserve">Edmond J. Safra Fellowship in Movement Disorders</t>
  </si>
  <si>
    <t xml:space="preserve">Michael J. Fox Foundation</t>
  </si>
  <si>
    <t xml:space="preserve">transition, physician_scientist</t>
  </si>
  <si>
    <t xml:space="preserve">Trains movement-disorder clinician-researchers to grow the global base of movement-disorder specialists.</t>
  </si>
  <si>
    <t xml:space="preserve">Classified fellowship (combined clinical + research training). submission_path=institutional_nomination_limited now supported by page ('applications from medical centers'). Confidence medium: citizenship still inferred, not stated.</t>
  </si>
  <si>
    <t xml:space="preserve">$180,000 over 2 years</t>
  </si>
  <si>
    <t xml:space="preserve">Physicians training as movement-disorder clinician-researchers (fellowship level)</t>
  </si>
  <si>
    <t xml:space="preserve">Parkinson's disease / movement disorders</t>
  </si>
  <si>
    <t xml:space="preserve">not applicable (clinical training fellowship)</t>
  </si>
  <si>
    <t xml:space="preserve">MJFF accepts applications from medical centers annually (host-site/institutional submission, not individual) and 'prioritizes expanding access in underrepresented communities' (refers to communities/sites served, not an applicant demographic gate). Fellowship hosted at academic medical centers. Citizenship inferred open (global program), not explicitly stated on page.</t>
  </si>
  <si>
    <t xml:space="preserve">MJFF review: candidate's clinical + research training potential, host-site mentorship/environment, commitment to movement disorders.</t>
  </si>
  <si>
    <t xml:space="preserve">https://www.michaeljfox.org/funding-opportunities</t>
  </si>
  <si>
    <t xml:space="preserve">Verified on funder page 2026-07-18: $180,000 over 2 years; applications accepted from medical centers annually (standing/annual mechanism, currently between cycles). MJFF's standing investigator research-grant vehicles are the Therapeutics Pipeline Program (rolling) and Bridge Funding for Disrupted Neurodegenerative Research (rolling, early-career).</t>
  </si>
  <si>
    <t xml:space="preserve">Career Catalyst Research (CCR) Grant</t>
  </si>
  <si>
    <t xml:space="preserve">Susan G. Komen</t>
  </si>
  <si>
    <t xml:space="preserve">Fosters promising early-career breast-cancer researchers, providing protected research time under mentorship to launch independent careers and compete for subsequent funding.</t>
  </si>
  <si>
    <t xml:space="preserve">CORRECTED submission_path institutional_nomination_limited -&gt; individual_direct: funder page shows an open LOI (not a funder-imposed institutional nomination); the earlier 'limited-submission' rationale reflected institution-side caps, which are not a Komen gate.</t>
  </si>
  <si>
    <t xml:space="preserve">Up to $150,000/yr (direct + indirect)</t>
  </si>
  <si>
    <t xml:space="preserve">Researchers in the early stages of their faculty careers</t>
  </si>
  <si>
    <t xml:space="preserve">breast cancer</t>
  </si>
  <si>
    <t xml:space="preserve">unspecified on page (early-faculty award to launch independence; page defers to the CCR RFA for prior-award limits)</t>
  </si>
  <si>
    <t xml:space="preserve">Basic/translational or clinical research. Two-step process: open Letter of Intent, then invitation-only full Application. Komen does NOT impose institutional nomination; any per-institution application caps are institution-side limited-submission policies, not a funder gate.</t>
  </si>
  <si>
    <t xml:space="preserve">Komen review: scientific merit, breast-cancer relevance/impact, applicant's potential for independence, mentorship.</t>
  </si>
  <si>
    <t xml:space="preserve">https://www.komen.org/breast-cancer-research/grants/programs/</t>
  </si>
  <si>
    <t xml:space="preserve">Verified on funder page 2026-07-18: up to $150,000/yr (direct + indirect), 2 or 3 years, two-step LOI + invited application. Komen also offers standing Postdoctoral Fellowship and Investigator-Initiated Research. Citizenship not stated; Komen funds U.S. and international institutions (citizenship_residency=other).</t>
  </si>
  <si>
    <t xml:space="preserve">Institution-administered Re-Entry Postdoctoral Research Program (representative example: Harvard Catalyst Re-Entry Research Supplement)</t>
  </si>
  <si>
    <t xml:space="preserve">Harvard Catalyst, The Harvard Clinical and Translational Science Center (representative named example; underlying funds from the NIH/NCATS CTSA award)</t>
  </si>
  <si>
    <t xml:space="preserve">institutional</t>
  </si>
  <si>
    <t xml:space="preserve">salary_stipend, research_project, career_development, training</t>
  </si>
  <si>
    <t xml:space="preserve">Supports doctoral-level researchers returning to clinical/translational research after a career interruption (childrearing, illness in self or family, relocation, debt-driven non-research work, or military service) through a mentored, institution-administered re-entry research supplement.</t>
  </si>
  <si>
    <t xml:space="preserve">GUIDANCE ROW representing the U.S. pattern of institution-administered re-entry postdoctoral programs. In the U.S. these are generally NOT standalone institution-funded fellowships; they are typically local implementations of the NIH/NCATS CTSA re-entry supplement run by a university's CTSA hub (Harvard Catalyst shown as a named representative). The candidate submits a Letter of Intent to the hub, which invites full proposals routed to NIH as administrative supplements to the CTSA parent grant. The 'institutional' label reflects administration/host, not the (federal CTSA) funding source.</t>
  </si>
  <si>
    <t xml:space="preserve">Salary support up to about $100,000/yr plus fringe, and about $10,000 for supplies/travel/publication (Harvard Catalyst figures; varies by institution)</t>
  </si>
  <si>
    <t xml:space="preserve">Up to about 2 years (up to 12 person-months; 1-year projects also considered)</t>
  </si>
  <si>
    <t xml:space="preserve">Career interruption of at least 1 year and no more than 8 years; previously in a postdoctoral or faculty position; minimum 50% time commitment to the re-entry effort</t>
  </si>
  <si>
    <t xml:space="preserve">Candidate should not currently hold independent research funding; the mechanism is a supplement to the institution's active federal (CTSA) award</t>
  </si>
  <si>
    <t xml:space="preserve">r1_or_equiv</t>
  </si>
  <si>
    <t xml:space="preserve">Availability is institution-specific and cyclical; applicants must be affiliated with (or recruited to) the administering university. As of the checked date, Harvard Catalyst's re-entry LOI cycle was closed - confirm current availability with the specific institution's CTSA hub or office of postdoctoral affairs.</t>
  </si>
  <si>
    <t xml:space="preserve">Institution/hub review of the candidate's re-entry potential, the mentored research/training plan, the mentor and environment, and alignment with the CTSA parent grant; finalists are routed to NIH for administrative approval</t>
  </si>
  <si>
    <t xml:space="preserve">Strong mentor and departmental commitment; a feasible plan to re-establish an independent research trajectory; documented qualifying interruption</t>
  </si>
  <si>
    <t xml:space="preserve">https://catalyst.harvard.edu/diversity-and-re-entry-supplements/re-entry-supplement/</t>
  </si>
  <si>
    <t xml:space="preserve">Representative anchor only. Standalone, purely institution-funded U.S. re-entry postdoctoral fellowships are rare and not standardized; most 'institutional re-entry postdoc' opportunities are university-administered NIH/CTSA re-entry supplements, offered by CTSA hubs across academic medical centers. Harvard Catalyst's LOI form was closed at the checked date, so treat availability as cyclical/institution-dependent. (Robust standalone re-entry fellowships exist in the UK - e.g., Wellcome/Daphne Jackson - but are out of U.S. scope.)</t>
  </si>
  <si>
    <t xml:space="preserve">Core-facility vouchers / usage subsidies (institutional)</t>
  </si>
  <si>
    <t xml:space="preserve">Home institution (US universities &amp; academic medical centers)</t>
  </si>
  <si>
    <t xml:space="preserve">postdoc, early_career_faculty, midcareer, senior_established</t>
  </si>
  <si>
    <t xml:space="preserve">biomedical_health, life_sciences, physical_sciences, engineering</t>
  </si>
  <si>
    <t xml:space="preserve">Subsidize investigator use of institutional core-facility instruments and staff time to extend core capabilities, develop new methods, or generate preliminary data for extramural applications (anchor: Arizona ORP).</t>
  </si>
  <si>
    <t xml:space="preserve">Representative anchor: University of Arizona ORP Core Facilities Pilot Program (verified 2026-07: ~$10k cap, next deadline May 2026, faculty+postdoc PIs, &lt;=2 concurrent awards, 12-mo no-extension). GUIDANCE row for the core-voucher/subsidy TYPE (also Duke SoM, UNC/TraCS, UAMS, Rutgers). mechanism_type=seed_pilot: the voucher buys shared-instrumentation access to produce pilot data; it is NOT capital equipment purchase, so purpose=research_project not equipment. Distinct from state/industry 'innovation voucher' programs (those fund companies, not faculty).</t>
  </si>
  <si>
    <t xml:space="preserve">~$2k-$25k (est.); anchor (Arizona ORP Core Facilities Pilot) capped ~$10k, higher for well-justified projects.</t>
  </si>
  <si>
    <t xml:space="preserve">Funds must be used within ~12 months; no extensions (anchor).</t>
  </si>
  <si>
    <t xml:space="preserve">Active researchers; anchor allows faculty and postdoc PIs, with a cap of 2 concurrent awards (postdocs limited to method-development/training projects).</t>
  </si>
  <si>
    <t xml:space="preserve">no; anchor caps concurrent awards (&lt;=2) rather than excluding by prior-award history.</t>
  </si>
  <si>
    <t xml:space="preserve">Gate is being a researcher/PI at the institution. The voucher/subsidy pays for USE of institutional core-facility instruments and staff time (anchor explicitly excludes consumables/specialty chemicals). Applicant develops a budget with the core manager and submits a short narrative to the research office. Purpose is to develop new methods or generate preliminary data for extramural proposals.</t>
  </si>
  <si>
    <t xml:space="preserve">Feasibility and scientific merit of core use; potential to develop new methods or produce preliminary data supporting future extramural proposals (anchor: expedited review, limited/no applicant feedback).</t>
  </si>
  <si>
    <t xml:space="preserve">https://research.arizona.edu/development/find-funding/core-facilities-pilot-program</t>
  </si>
  <si>
    <t xml:space="preserve">Requires the institution to operate shared core facilities (research-intensive universities/AMCs); many voucher programs are seeded by CTSA hubs or NIH S10/core grants. Verified 2026-07: the anchor gives funding priority to proposals that train students from traditionally marginalized groups, but this is a SOFT priority WITHIN the student-training sub-track only, not a program-level eligibility gate on the PI (faculty/postdoc) applicant pool; row-level identity_targeting therefore = none.</t>
  </si>
  <si>
    <t xml:space="preserve">CTSA intramural pilot / translational pilot awards</t>
  </si>
  <si>
    <t xml:space="preserve">early_career_faculty, midcareer, senior_established, physician_scientist</t>
  </si>
  <si>
    <t xml:space="preserve">Fund innovative, interdisciplinary pilots that advance clinical and translational science and generate preliminary data (and reusable tools/methods) for extramural applications (anchor: UF CTSI).</t>
  </si>
  <si>
    <t xml:space="preserve">Representative anchor: University of Florida CTSI Pilot Award Program (verified 2026-07 as CTSI's own funding page; 2025-26 UF+FSU CTSA Hub cycle, 12-mo, no NCE, LOI required); amounts corroborated by Case Western CTSC (up to $50k, funded by NCATS UM1TR004528). GUIDANCE row for the CTSA-hub intramural pilot TYPE. IMPORTANT classification note: although the CTSA hub is backed by an NIH/NCATS UM1/UL1 cooperative agreement, the PILOT AWARD itself is administered INTRAMURALLY by the institution's CTSI to its own investigators, so funder_category=institutional and mechanism_type=seed_pilot (not cooperative_agreement, which describes the parent NCATS award to the hub).</t>
  </si>
  <si>
    <t xml:space="preserve">~$20k-$50k (est.); corroborating anchor (Case Western CTSC) up to $50k each; some hubs award up to ~$100k. (UF CTSI page confirms the mechanism but does not publish a per-award dollar figure.)</t>
  </si>
  <si>
    <t xml:space="preserve">12 months; no-cost extensions often not permitted (anchor: UF CTSI).</t>
  </si>
  <si>
    <t xml:space="preserve">Faculty PIs eligible to hold NIH grants at the CTSA-hub institution; new/junior investigators explicitly encouraged (Case: &lt;6 yrs, untenured).</t>
  </si>
  <si>
    <t xml:space="preserve">varies by hub: many prioritize or restrict to new/early-stage investigators or those without major related R-level funding; verify per CTSI RFA.</t>
  </si>
  <si>
    <t xml:space="preserve">Gate is being an NIH-PI-eligible faculty member at an institution with a CTSA hub. Investigators apply through the local CTSI/CTSC (often via LOI -&gt; design studio -&gt; full application). Human/animal work needs IRB/IACUC (and NIH prior approval) before start. Intended to produce preliminary data and reusable translational tools/methods that seed extramural (often R-level) applications.</t>
  </si>
  <si>
    <t xml:space="preserve">Clinical/translational significance, innovation, feasibility, and potential to advance to extramural funding, aligned with NCATS translational-science goals.</t>
  </si>
  <si>
    <t xml:space="preserve">https://www.ctsi.ufl.edu/research/funding-opportunities/ctsi-funded-research/</t>
  </si>
  <si>
    <t xml:space="preserve">Available only at the ~60 institutions with an NCATS CTSA hub (academic medical centers), hence institution_type_restriction=r1_or_equiv. Scope is clinical &amp; translational science broadly (not a single disease), so topic_restricted=false. Sibling mechanisms at the same hubs include KL2 career awards and TL1 trainee slots (separate rows/categories).</t>
  </si>
  <si>
    <t xml:space="preserve">Dissertation-completion fellowships (institutional)</t>
  </si>
  <si>
    <t xml:space="preserve">Provide final-year, non-service funding so doctoral candidates can focus exclusively on research and writing and complete the dissertation without service obligations (anchor: UNC).</t>
  </si>
  <si>
    <t xml:space="preserve">Representative anchor: UNC-Chapel Hill Graduate School Dissertation Completion Fellowship (verified 2026-07, page updated Mar 2026: $24k/9 mo + tuition/fees/GSHIP; department nominates up to 3). GUIDANCE row for the near-universal dissertation-completion-fellowship TYPE (also Stanford VPGE, Cincinnati, Texas A&amp;M, UMass). submission_path=institutional_nomination_limited because the department must nominate within a per-program cap. Most valuable to (and sometimes restricted to) humanities/social-science PhDs whose stipends are not otherwise RA-covered.</t>
  </si>
  <si>
    <t xml:space="preserve">~$20k-$40k stipend + tuition/fees + health insurance (est.); anchor (UNC) $24,000 for the 9-month academic year plus tuition (campus rate) and mandatory fees and GSHIP health insurance.</t>
  </si>
  <si>
    <t xml:space="preserve">9-12 months (the final dissertation-writing year).</t>
  </si>
  <si>
    <t xml:space="preserve">Advanced-to-candidacy (ABD) doctoral students in their final writing year, able to finish within the fellowship term.</t>
  </si>
  <si>
    <t xml:space="preserve">no; requires ABD/candidacy status. Concurrent TA/RA appointments, other major fellowships, or outside employment are typically barred during the award without prior approval (anchor: UNC).</t>
  </si>
  <si>
    <t xml:space="preserve">Gate is being an enrolled, degree-seeking doctoral candidate at the institution who has completed coursework, passed prelims/comps, and had the prospectus approved. Non-service funding: recipients typically may not hold TA/RA appointments, other major fellowships, or outside employment during tenure without prior approval (anchor: UNC). Departments nominate a capped number of students (anchor: up to 3 per program), then the graduate school selects.</t>
  </si>
  <si>
    <t xml:space="preserve">Likelihood of completing the dissertation within the fellowship term, scholarly merit and research design, clarity of materials for a general audience, and department/committee endorsement.</t>
  </si>
  <si>
    <t xml:space="preserve">https://gradschool.unc.edu/funding/gradschool/dissertation/</t>
  </si>
  <si>
    <t xml:space="preserve">Requires a PhD-granting institution. Some variants are discipline-restricted (humanities/social sciences) or run by a college rather than the central graduate school; stipend scales with the institution's standard doctoral rate.</t>
  </si>
  <si>
    <t xml:space="preserve">Faculty startup / start-up packages (institutional)</t>
  </si>
  <si>
    <t xml:space="preserve">research_project, equipment, salary_stipend, training</t>
  </si>
  <si>
    <t xml:space="preserve">Provide newly recruited faculty the equipment, personnel, summer salary, and flexible research funds needed to establish an independent research program (recruitment/retention).</t>
  </si>
  <si>
    <t xml:space="preserve">Representative anchor: University of Iowa (College of Liberal Arts &amp; Sciences) Startup Policy page (verified 2026-07 as the College's own official policy; typical large-package cost share 1/3 dept, 2/3 CLAS). GUIDANCE row: startup packages are near-universal but the dollar figures are negotiated privately and essentially never published per-institution, so this captures typical ranges + how-to-access only. mechanism_type=research_grant is a proxy: startup is a bundled recruitment/setup fund (equipment, personnel, summer salary, trainees, supplies) to launch an independent lab, not a peer-reviewed grant. confidence=low because figures are estimates from community norms, not a sourced funder amount.</t>
  </si>
  <si>
    <t xml:space="preserve">R1 experimental/wet-lab STEM ~$500k-$2M+ (est.); computational/theory/social science much lower (~$50k-$500k est.); PUI/teaching-focused much smaller (~$5k-$100k est.). Senior/retention recruits negotiate the largest packages.</t>
  </si>
  <si>
    <t xml:space="preserve">Funds typically must be spent within ~3-5 years of appointment (anchor: research funds within first 4 years; computer/moving within year 1); use-it-or-lose-it terms vary.</t>
  </si>
  <si>
    <t xml:space="preserve">Negotiated at the time of appointment/hire (or as a retention offer); not an open annual competition.</t>
  </si>
  <si>
    <t xml:space="preserve">no (n/a; provided at hiring regardless of prior funding).</t>
  </si>
  <si>
    <t xml:space="preserve">Gate is being a newly recruited (or retained) faculty appointee at the institution, not nationality. Access is via the offer-negotiation process with the hiring department chair and dean/provost, NOT a competitive research-office application. Amounts are set case-by-case and depend heavily on field (equipment-intensive experimental STEM highest), rank, and institution type (R1 &gt;&gt; R2 &gt;&gt; PUI).</t>
  </si>
  <si>
    <t xml:space="preserve">n/a (negotiated recruitment package; not a peer-reviewed competition).</t>
  </si>
  <si>
    <t xml:space="preserve">https://resource.clas.uiowa.edu/policies/research/startup-policy</t>
  </si>
  <si>
    <t xml:space="preserve">Ranges vary enormously by discipline and institution type; R1 experimental STEM the high end, PUI/humanities the low end. Senior recruitment and retention packages can exceed the ranges above. Not enumerable on the open web.</t>
  </si>
  <si>
    <t xml:space="preserve">Institutional postdoctoral fellowships (President's / Provost's / departmental)</t>
  </si>
  <si>
    <t xml:space="preserve">Support early-career postdoctoral scholars with salary, faculty mentoring, and professional development to recruit potential future tenure-track faculty (anchor: U-M President's Postdoctoral Fellowship).</t>
  </si>
  <si>
    <t xml:space="preserve">Representative anchor: University of Michigan President's Postdoctoral Fellowship (UC PPFP-model, U-M/UC collaboration since 2011). GUIDANCE row spanning two flavors: (a) generic Provost's/departmental institutional postdoc fellowships with NO identity criteria, and (b) the President's/Provost's PPFP-family. Re-verified on the anchor page 2026-07: current wording is HOLISTIC and perspective-based ('critical perspective ... from their non-traditional educational background or understanding of the experiences of groups historically underrepresented in higher education') and weighs 'contribution to ... equal opportunity in higher education' as a non-demographic holistic factor; candidates are 'evaluated on fit with current needs and strengths of the institution and future funding possibilities.' confidence=low: stipend is an estimate and identity framing is drift-sensitive post-SFFA.</t>
  </si>
  <si>
    <t xml:space="preserve">~$60k-$70k/yr stipend + benefits (est.); often includes a research/professional-development allowance.</t>
  </si>
  <si>
    <t xml:space="preserve">1-3 years (commonly 2, sometimes renewable).</t>
  </si>
  <si>
    <t xml:space="preserve">Early-career postdocs, typically within ~5 years of the PhD (varies by program); PhD required (or expected before start).</t>
  </si>
  <si>
    <t xml:space="preserve">no formal prior-award gate; eligibility is bounded by early-postdoc career stage (typically within ~5 yrs of PhD; some programs limit prior postdoc experience).</t>
  </si>
  <si>
    <t xml:space="preserve">Gate is holding (or taking up) the fellowship as a postdoc appointee at the institution; nationality generally not restricted. Applicants apply directly, usually naming a prospective faculty mentor/host unit. Explicit aim is to build the future tenure-track faculty pipeline. Anchor (U-M President's Postdoc) for AY25-26 limited hosting to five named schools (Dentistry; Environment &amp; Sustainability; Information; Nursing; Social Work); scope varies yearly and by campus.</t>
  </si>
  <si>
    <t xml:space="preserve">Research promise/quality, fit with a faculty mentor and host unit, and potential for a future faculty career; PPFP-family programs also weigh holistic contributions to diversity/equal opportunity (perspective-based, not demographic).</t>
  </si>
  <si>
    <t xml:space="preserve">https://presidentspostdoc.umich.edu/</t>
  </si>
  <si>
    <t xml:space="preserve">Identity fields reflect the President's/Provost's (PPFP-model) SUBSET as VERIFIED on the anchor page 2026-07: U-M expresses interest in scholars who bring a critical perspective from a 'non-traditional educational background or understanding of the experiences of groups historically underrepresented in higher education' and weighs contributions to diversity/equal opportunity as a HOLISTIC, non-demographic factor. This is a SOFT preference (prioritizes), NOT a demographic gate; post-SFFA (2023) the language is explicitly contribution/perspective-based, not identity-restricted. Downgraded from the prior [URM, first_generation] stamp: dropped 'first_generation' (not supported by the current non-demographic wording), retained URM as the closest filterable mapping of 'groups historically underrepresented.' Generic departmental/provost postdoc fellowships carry no identity criteria (identity_gate_type = n/a). confidence low on the identity and stipend fields specifically.</t>
  </si>
  <si>
    <t xml:space="preserve">Internal bridge / gap funding (institutional)</t>
  </si>
  <si>
    <t xml:space="preserve">Sustain a full-time faculty member's independent research program during a temporary loss of significant funding, usually between two extramural (R01-equivalent) grants (anchor: UCSF).</t>
  </si>
  <si>
    <t xml:space="preserve">Representative anchor: UCSF School of Medicine Bridge Funding Program (verified 2026-07: &lt;=$150k, &lt;=12 mo, requires recent well-scored unfunded federal application, 25% dept match, cannot reapply until 6 mo after prior award). GUIDANCE row for the bridge/gap-funding TYPE (also at Oregon, Purdue, FSU, Wisconsin, Cincinnati, IU). mechanism_type=research_grant proxy: this is stopgap funding to sustain a mature lab/personnel between grants, NOT a seed/pilot. Note the qualifying condition is INVERSE of a prior-funding exclusion: you must HAVE HAD extramural funding and a scored unfunded resubmission to qualify.</t>
  </si>
  <si>
    <t xml:space="preserve">~$25k-$150k (est.); anchor (UCSF School of Medicine) caps at $150k, with the department providing 25% of the award.</t>
  </si>
  <si>
    <t xml:space="preserve">Up to 12 months.</t>
  </si>
  <si>
    <t xml:space="preserve">During a funding gap; anchor requires &gt;3 years as full-time salaried faculty and a recent well-scored-but-unfunded federal application.</t>
  </si>
  <si>
    <t xml:space="preserve">no (inverse requirement): eligibility REQUIRES prior/lapsing extramural funding plus a recent well-scored but unfunded federal application; having no external-funding history typically disqualifies. (Anchor nuance: New Investigators still holding a mentored K award are ineligible.)</t>
  </si>
  <si>
    <t xml:space="preserve">Gate is being an established, full-time faculty PI at the institution experiencing a temporary loss of significant extramural support. Anchor priority tiers: Established Investigators (8+ yrs faculty, documented 3 yrs continuous peer-reviewed support, losing/anticipating loss of &gt;40% of extramural funding) and New Investigators (&lt;=8 yrs faculty with independent programs; those still holding a mentored K are ineligible). Department chair must document a financial commitment (anchor: 25% match). Faculty apply to the school/research office (anchor: two cycles/yr, Winter and Summer).</t>
  </si>
  <si>
    <t xml:space="preserve">Institutional committee: strength/percentile of the recent unfunded federal application, research program independence, likelihood of near-term recovery of extramural funding, productivity, and documented department commitment/match.</t>
  </si>
  <si>
    <t xml:space="preserve">https://medschool.ucsf.edu/research/investigator-resources/school-medicine-bridge-funding-program</t>
  </si>
  <si>
    <t xml:space="preserve">Most common at academic medical centers and wet-lab-intensive units where a grant lapse threatens salaried personnel; campus-wide (domain-agnostic) versions also exist. Cadence framed rolling because need is unpredictable, though anchor runs fixed Winter/Summer cycles; department cost-share is common.</t>
  </si>
  <si>
    <t xml:space="preserve">Internal seed / pilot research grants (institutional)</t>
  </si>
  <si>
    <t xml:space="preserve">Jump-start worthwhile new projects with short-term, one-time internal support to generate preliminary data for external proposals (anchor language: 'jump-start worthwhile projects by providing short-term, one-time support').</t>
  </si>
  <si>
    <t xml:space="preserve">Representative anchor: University of Arizona Research Office Faculty Seed Grants (verified 2026-07: up to $15k, Track 1 assistant / Track 2 associate profs, annual, one award per PI per 4 yrs, must lead to data for new external proposals). GUIDANCE row for the near-universal internal-seed-grant TYPE; amounts/terms are set per-institution. Corroborating index: UChicago Office of Research internal-funding catalog. Leveraging preliminary data into extramural funding is the explicit intent.</t>
  </si>
  <si>
    <t xml:space="preserve">~$10k-$75k (est.); anchor (Arizona Faculty Seed Grants) up to $15k one-time (single-investigator).</t>
  </si>
  <si>
    <t xml:space="preserve">~6-18 months (est.); anchor is a 1-year award period.</t>
  </si>
  <si>
    <t xml:space="preserve">Open to faculty; anchor limits to one award per PI every 4 years and splits Track 1 (assistant profs / early career) / Track 2 (associate profs / mid-career).</t>
  </si>
  <si>
    <t xml:space="preserve">no formal PI-history gate; programs typically target NEW directions/preliminary data and often cap repeat awards (anchor: one per PI per 4 yrs).</t>
  </si>
  <si>
    <t xml:space="preserve">Gate is faculty appointment at the institution. Faculty apply directly through the research office's internal-funding portal (anchor: 'Arizona Cultivate'). Intended to generate preliminary/pilot data or scholarly/creative output that seeds a new EXTERNAL proposal. Some campuses open these to all ranks or to interdisciplinary teams.</t>
  </si>
  <si>
    <t xml:space="preserve">Institutional review: scientific/scholarly merit and likelihood of leading to competitive external funding or significant scholarship.</t>
  </si>
  <si>
    <t xml:space="preserve">https://research.arizona.edu/development/find-funding/internal-funding/faculty-seed-grants</t>
  </si>
  <si>
    <t xml:space="preserve">Names vary (seed grant, pilot grant, faculty research grant, university research council award, interdisciplinary seed). Larger interdisciplinary/team seed programs reach the upper (~$50k-$75k) end. Some are rolling rather than annual.</t>
  </si>
  <si>
    <t xml:space="preserve">Limited-submission internal competitions (institutional nomination)</t>
  </si>
  <si>
    <t xml:space="preserve">Internally select the institution's nominee(s) for external programs that limit the number of applications a single institution may submit, ensuring compliance and maximizing competitiveness (anchor: UMN RIO).</t>
  </si>
  <si>
    <t xml:space="preserve">Representative anchor: University of Minnesota Research &amp; Innovation Office Limited Submissions Program (verified 2026-07; corroborated by UChicago, Ohio State, Cornell, Rochester, Iowa). GUIDANCE row: near-universal at research universities. mechanism_type=research_grant is a proxy - this row represents the internal LIMITED-SUBMISSION NOMINATION PROCESS itself (a gatekeeping mechanism), not a funding award. submission_path=institutional_nomination_limited is the defining field. Underlying external awards span research grants, instrumentation (NSF MRI, NIH S10), center/training grants, and foundation prizes.</t>
  </si>
  <si>
    <t xml:space="preserve">n/a - this is an internal nomination GATEWAY, not itself a purse; the eventual award is the external sponsor's (varies widely, from ~$50k foundation awards to multi-$M instrumentation/center grants).</t>
  </si>
  <si>
    <t xml:space="preserve">n/a (gateway process); underlying external award duration varies.</t>
  </si>
  <si>
    <t xml:space="preserve">Whenever a capped external opportunity is posted; anyone eligible for that external program may enter the internal competition.</t>
  </si>
  <si>
    <t xml:space="preserve">n/a (nomination process; any prior-funding limits come from the downstream external program, not the internal competition).</t>
  </si>
  <si>
    <t xml:space="preserve">Gate is being an eligible PI at the institution for an external program that caps the number of applications per institution. The research-development office posts the opportunity, collects short internal pre-proposals, convenes a faculty/associate-dean review panel when entries exceed the funder's cap, and the VP for Research selects the nominee(s). Anchor rule (UMN RIO), verified 2026-07: 'Approval from RIO must be obtained before applying to a limited submission opportunity,' and proposals 'should not be submitted to any limited submission opportunities without going through the UMN limited submission process.'</t>
  </si>
  <si>
    <t xml:space="preserve">Internal panel scores on scientific merit, fit to the sponsor's stated criteria, and alignment with institutional strategic priorities; the VP for Research makes the final nomination.</t>
  </si>
  <si>
    <t xml:space="preserve">https://research.umn.edu/funding-awards/limited-submissions-program</t>
  </si>
  <si>
    <t xml:space="preserve">Not a source of institutional money - it allocates the scarce right to APPLY externally. Included because submission_path=institutional_nomination_limited is a distinct, filterable access pattern researchers must navigate. Cadence is rolling because opportunities post throughout the year, usually ~3 months before the sponsor deadline.</t>
  </si>
  <si>
    <t xml:space="preserve">Amazon Research Awards (ARA)</t>
  </si>
  <si>
    <t xml:space="preserve">Amazon</t>
  </si>
  <si>
    <t xml:space="preserve">industry</t>
  </si>
  <si>
    <t xml:space="preserve">computing_math, engineering</t>
  </si>
  <si>
    <t xml:space="preserve">Fund academic research aligned with Amazon's areas of interest via one-time unrestricted cash gifts and AWS Promotional Credits.</t>
  </si>
  <si>
    <t xml:space="preserve">Cash awards are structured as one-time UNRESTRICTED GIFTS to the PI's institution (not grants/contracts), often paired with AWS Promotional Credits. Multiple topic-specific calls per year, hence irregular cadence. AUDIT 2026-07-18: program rules confirm the unrestricted-gift + AWS-credit structure, one-proposal-per-call limit, and that dollar amounts are set at Amazon's sole discretion (undisclosed).</t>
  </si>
  <si>
    <t xml:space="preserve">One-time unrestricted cash gift to the institution plus AWS Promotional Credits; all amounts determined by Amazon in its sole discretion and not disclosed on the funder page (historically up to ~$100k total incl. credits (est.))</t>
  </si>
  <si>
    <t xml:space="preserve">unspecified (one-time award)</t>
  </si>
  <si>
    <t xml:space="preserve">Full-time faculty at an accredited academic institution (or permanent researcher at a qualifying nonprofit)</t>
  </si>
  <si>
    <t xml:space="preserve">Multiple research areas incl. ML, computer vision, robotics, sustainability, security/privacy, conversational AI, automated reasoning</t>
  </si>
  <si>
    <t xml:space="preserve">no: no prior-award exclusion, but limited to one proposal per call period</t>
  </si>
  <si>
    <t xml:space="preserve">PI must be full-time faculty at an accredited institution (or permanent researcher at a 501(c)(3)-equivalent NGO); one proposal per call period. Void in sanctioned jurisdictions. No Amazon employment in the preceding 12 months; no immediate family/household of Amazon employees; no Amazon cloud-procurement decision authority. Confirmed on funder page.</t>
  </si>
  <si>
    <t xml:space="preserve">Fit to the call's research area and scientific merit; reviewed by Amazon scientists (specific rubric not published).</t>
  </si>
  <si>
    <t xml:space="preserve">https://www.amazon.science/research-awards/program-rules</t>
  </si>
  <si>
    <t xml:space="preserve">Research areas include ML, computer vision, robotics, sustainability, security/privacy/abuse prevention, conversational AI, and automated reasoning. Founded 2015; merged with AWS ML Research Awards in 2020.</t>
  </si>
  <si>
    <t xml:space="preserve">Apple Scholars in AI/ML</t>
  </si>
  <si>
    <t xml:space="preserve">Apple</t>
  </si>
  <si>
    <t xml:space="preserve">salary_stipend, research_project, training</t>
  </si>
  <si>
    <t xml:space="preserve">Support emerging leaders in AI/ML research through funding as they pursue their PhDs.</t>
  </si>
  <si>
    <t xml:space="preserve">Award amount and duration are not publicly disclosed on Apple's page (confidence medium). Nomination via invited universities only. AUDIT 2026-07-18: 2026 recipients page confirms the program is active (seventh year), university-nominated, and open to invited institutions; monetary amount genuinely undisclosed.</t>
  </si>
  <si>
    <t xml:space="preserve">unspecified (fellowship funding toward PhD research; amount not published by Apple)</t>
  </si>
  <si>
    <t xml:space="preserve">PhD students at invited institutions</t>
  </si>
  <si>
    <t xml:space="preserve">Artificial intelligence and machine learning</t>
  </si>
  <si>
    <t xml:space="preserve">University-nominated; open only to invited institutions (limited submission at participating schools). Students do not apply directly. Confirmed on funder page (2026 cycle, program's seventh year).</t>
  </si>
  <si>
    <t xml:space="preserve">Innovative research, leadership, and commitment to advancing the field (per program page).</t>
  </si>
  <si>
    <t xml:space="preserve">https://machinelearning.apple.com/updates/apple-scholars-aiml-2026</t>
  </si>
  <si>
    <t xml:space="preserve">2026 focus areas span AI for health, IR/knowledge, ML theory, ML algorithms/architectures, human-centered AI, data-centric AI, privacy-preserving ML, speech/NLP, interactive ML &amp; agents, ethics/fairness, computer vision, accessibility.</t>
  </si>
  <si>
    <t xml:space="preserve">Industry Consortia / Industrial Affiliate (Liaison) Programs</t>
  </si>
  <si>
    <t xml:space="preserve">Corporate affiliate/consortium members (membership fees to a university center)</t>
  </si>
  <si>
    <t xml:space="preserve">Provide membership-based, largely unrestricted support to a university research center/consortium in exchange for early access to research, faculty/student networking, and recruiting.</t>
  </si>
  <si>
    <t xml:space="preserve">GUIDANCE row (sourced to Stanford's industrial affiliate programs as a reference). Examples: MIT Industrial Liaison Program; Stanford industrial affiliate programs; NSF I/UCRC centers. Membership fees are typically unrestricted support to the center (non-project-specific), distinguishing them from SRAs (project-specific) and gifts (no return benefit). Fee ranges are estimates. AUDIT 2026-07-18: Stanford page confirms the membership model ('any interested company may join'; members receive facilitated access, meetings, reports, recruiting; fees provide unrestricted support).</t>
  </si>
  <si>
    <t xml:space="preserve">Annual membership fees, commonly ~$25k-$150k per member per year depending on program/tier (est.)</t>
  </si>
  <si>
    <t xml:space="preserve">Annual, renewable membership</t>
  </si>
  <si>
    <t xml:space="preserve">Faculty/centers at the host institution benefit; any company may join by paying membership fees</t>
  </si>
  <si>
    <t xml:space="preserve">Membership-based: corporate members pay annual fees providing largely unrestricted support to a center/lab and receive facilitated access to research programs, faculty and students, annual meetings, reports, and recruiting. Any interested company may join (confirmed on Stanford reference).</t>
  </si>
  <si>
    <t xml:space="preserve">No competitive review; membership-based access (fee for affiliation).</t>
  </si>
  <si>
    <t xml:space="preserve">https://industrialaffiliate.stanford.edu/industrial-affiliate-programs</t>
  </si>
  <si>
    <t xml:space="preserve">Also encompasses precompetitive research consortia (multiple companies co-funding a shared research agenda).</t>
  </si>
  <si>
    <t xml:space="preserve">Unrestricted / Restricted Industry Gifts (corporate philanthropy to research)</t>
  </si>
  <si>
    <t xml:space="preserve">Corporate donors (via university advancement/development office)</t>
  </si>
  <si>
    <t xml:space="preserve">Provide philanthropic support to a researcher, unit, or research area with no deliverables and no sponsor control over results.</t>
  </si>
  <si>
    <t xml:space="preserve">GUIDANCE row (sourced to UCI's gift-vs-grant reference). Classified under mechanism_type=research_grant only as the nearest schema value; substantively it is a philanthropic GIFT (corporate philanthropy), NOT a grant/contract. Accessed via University Advancement, not the sponsored programs office. Amazon Research Awards cash is a real-world award structured as an unrestricted gift. AUDIT 2026-07-18: UCI Office of Research page confirms gift markers (no deliverables/IP, no funder direction, minimal reporting).</t>
  </si>
  <si>
    <t xml:space="preserve">Highly variable, donor/relationship-dependent (est.)</t>
  </si>
  <si>
    <t xml:space="preserve">N/A (one-time or pledged; no performance period)</t>
  </si>
  <si>
    <t xml:space="preserve">Any faculty/unit designated by the donor; processed via the institution's advancement/development office</t>
  </si>
  <si>
    <t xml:space="preserve">Not competitive; donor-directed. A gift confers NO deliverables, no detailed budget/reporting, no sponsor IP rights, and typically waived/reduced indirect costs. Distinguished from sponsored research by the absence of a defined scope of work and of a return benefit to the funder. Confirmed by UCI reference.</t>
  </si>
  <si>
    <t xml:space="preserve">No competitive review; donor discretion plus institutional gift-acceptance/compliance review.</t>
  </si>
  <si>
    <t xml:space="preserve">https://research.uci.edu/sponsored-projects/gift-vs-grant/</t>
  </si>
  <si>
    <t xml:space="preserve">Key gift markers: no deliverables, no return benefit to funder, low/no F&amp;A, donor cannot control results.</t>
  </si>
  <si>
    <t xml:space="preserve">Google PhD Fellowship Program</t>
  </si>
  <si>
    <t xml:space="preserve">Google</t>
  </si>
  <si>
    <t xml:space="preserve">Recognize and support outstanding graduate students pursuing doctoral research in computer science and related fields.</t>
  </si>
  <si>
    <t xml:space="preserve">Global program administered across regions with region-specific eligibility and award amounts; funds are paid to the Fellow's university. Row reflects US/Canada terms for the United States jurisdiction. AUDIT 2026-07-18: funder page confirms $85k/yr, up to 2 years, up to 4 nominees per US/Canada university, and the four stated review criteria.</t>
  </si>
  <si>
    <t xml:space="preserve">US/Canada region: US $85,000 per year toward tuition/fees, living expenses, travel, and equipment (effective 2025 for new recipients; confirmed on funder page)</t>
  </si>
  <si>
    <t xml:space="preserve">Up to 2 years (US/Canada region)</t>
  </si>
  <si>
    <t xml:space="preserve">US/Canada: must have completed graduate coursework in the PhD by the award year; enrolled full-time for the fellowship duration</t>
  </si>
  <si>
    <t xml:space="preserve">Computer science and adjacent research areas (ML, systems, HCI, NLP, quantum, health, security)</t>
  </si>
  <si>
    <t xml:space="preserve">yes: students already receiving a comparable industry fellowship, and past Google Fellowship recipients, are ineligible; Google employees/household members ineligible</t>
  </si>
  <si>
    <t xml:space="preserve">Nomination-based; direct student applications not accepted. US/Canada universities may nominate up to 4 students (confirmed on funder page). Eligibility and award amounts vary across global regions; this row reflects the US/Canada region.</t>
  </si>
  <si>
    <t xml:space="preserve">Strength of the research proposal, research impact, student academic achievements, and leadership potential (essay responses also evaluated in US/Canada, East Asia, Latin America). Confirmed on funder page.</t>
  </si>
  <si>
    <t xml:space="preserve">https://research.google/programs-and-events/phd-fellowship/</t>
  </si>
  <si>
    <t xml:space="preserve">Covered fields: computer architecture; algorithms/optimization; health; HCI; ML &amp; ML foundations; machine perception; NLP; privacy/safety/security; quantum computing; software engineering/PL; systems/networking/cloud.</t>
  </si>
  <si>
    <t xml:space="preserve">IBM PhD Fellowship Awards</t>
  </si>
  <si>
    <t xml:space="preserve">IBM</t>
  </si>
  <si>
    <t xml:space="preserve">computing_math, engineering, physical_sciences</t>
  </si>
  <si>
    <t xml:space="preserve">Recognize and support outstanding PhD students working in areas of mutual interest to IBM.</t>
  </si>
  <si>
    <t xml:space="preserve">Faculty-nominated (by invitation) rather than direct student application; award amount and duration are per academic year. AUDIT 2026-07-18: funder page documents the 2025 cycle (Fall 2025 + Spring 2026) with confirmed amounts; program is standing (contrast with Meta, dropped).</t>
  </si>
  <si>
    <t xml:space="preserve">US universities: $40,000 (covers Fall + Spring); international: $6,000-$25,000 by country. Confirmed on funder page.</t>
  </si>
  <si>
    <t xml:space="preserve">One academic year (Fall + Spring); reset each cycle</t>
  </si>
  <si>
    <t xml:space="preserve">Nominated within two years of estimated graduation; enrolled full-time over the academic year of the award</t>
  </si>
  <si>
    <t xml:space="preserve">IBM focus areas (AI, hybrid cloud, quantum computing, semiconductors/hardware, security)</t>
  </si>
  <si>
    <t xml:space="preserve">Faculty nomination required and by invitation only (students cannot self-nominate); nominators must be doctoral faculty. IBM employees/contractors may not nominate. Students at institutions in US-embargoed countries are ineligible. Confirmed on funder page.</t>
  </si>
  <si>
    <t xml:space="preserve">Alignment with IBM focus areas, potential for research excellence, academic standing, publications, and faculty endorsements.</t>
  </si>
  <si>
    <t xml:space="preserve">https://research.ibm.com/university/awards/fellowships-faq.html</t>
  </si>
  <si>
    <t xml:space="preserve">Focus areas include AI, hybrid cloud, quantum computing, semiconductors/hardware, and security. Recipients often paired with an IBM mentor/internship.</t>
  </si>
  <si>
    <t xml:space="preserve">Industry Sponsored Research Agreements (incl. Master Research Agreements)</t>
  </si>
  <si>
    <t xml:space="preserve">Industry sponsors (relationship-driven, via university contracting office)</t>
  </si>
  <si>
    <t xml:space="preserve">Fund a defined scope of research at the university directed toward the sponsor's interests, under a negotiated contract with deliverables, reporting, and IP terms.</t>
  </si>
  <si>
    <t xml:space="preserve">GUIDANCE row (not a single named program; sourced to MIT OSATT as an authoritative reference). A MASTER RESEARCH AGREEMENT (MRA) is an umbrella framework negotiated once with a repeat corporate partner, under which multiple projects/task orders execute without renegotiating core terms (IP, publication, liability); individual ISRAs/SRAs define scope/budget per project. SRA and MRA merged into one row to stay within the row ceiling. AUDIT 2026-07-18: MIT OSATT page confirms ISRAs and MRAs as authoritative institutional references.</t>
  </si>
  <si>
    <t xml:space="preserve">Highly variable - tens of thousands to several million dollars per project, relationship-dependent (est.)</t>
  </si>
  <si>
    <t xml:space="preserve">Project-defined (commonly 1-3 years); a Master Research Agreement sets multi-year umbrella terms</t>
  </si>
  <si>
    <t xml:space="preserve">Any faculty PI whose institution executes a sponsored research agreement with the company</t>
  </si>
  <si>
    <t xml:space="preserve">Not a competitive program - access is RELATIONSHIP-DRIVEN. Initiated by faculty-company contact and negotiated through the institution's sponsored research / industry contracts office. Full indirect cost (F&amp;A) rate typically applies; sponsor receives defined deliverables and negotiated IP rights.</t>
  </si>
  <si>
    <t xml:space="preserve">No formal competitive review; sponsor internal decision plus institutional contract/IP/compliance review.</t>
  </si>
  <si>
    <t xml:space="preserve">https://osatt.mit.edu/engagements</t>
  </si>
  <si>
    <t xml:space="preserve">Distinguished from gifts by: defined scope of work, deliverables/reporting, IP provisions, and full F&amp;A. Typical ranges are estimates; actual amounts vary widely.</t>
  </si>
  <si>
    <t xml:space="preserve">Microsoft Research Fellowship (formerly Microsoft Research PhD Fellowship)</t>
  </si>
  <si>
    <t xml:space="preserve">Microsoft</t>
  </si>
  <si>
    <t xml:space="preserve">graduate_predoc, postdoc, early_career_faculty, midcareer, senior_established</t>
  </si>
  <si>
    <t xml:space="preserve">Create opportunities for faculty, PhD students, and postdocs to collaborate with Microsoft Research on open research challenges that advance science and benefit society.</t>
  </si>
  <si>
    <t xml:space="preserve">DRIFT CONFIRMED (AUDIT 2026-07-18): funder page verifies this unified 'Microsoft Research Fellowship' (2026 cycle) has replaced the legacy multi-year 'Microsoft Research PhD Fellowship' (and Ada Lovelace Fellowship). It is a challenge-based, direct-application, ONE-TIME collaboration award ($47k US/Canada, $27k Europe, $17k other), distributed as an unrestricted gift to the institution in March/April 2026, spanning PhD students, postdocs, and faculty. Labeled a fellowship per branding though it functions as a research-collaboration award. Original row was accurate.</t>
  </si>
  <si>
    <t xml:space="preserve">Canada/US: $47,000 (one-time); Europe: $27,000; other regions: $17,000. Distributed as a one-time unrestricted gift to the institution (~March/April). Confirmed on funder page.</t>
  </si>
  <si>
    <t xml:space="preserve">One-time award (single disbursement, ~March/April 2026)</t>
  </si>
  <si>
    <t xml:space="preserve">Employed or enrolled at a degree-granting university in an eligible region (incl. US); specific challenges accept PhD students, postdocs, faculty, or a combination</t>
  </si>
  <si>
    <t xml:space="preserve">Open research challenges across Microsoft Research areas (AI, computer vision, human language technologies, quantum, systems)</t>
  </si>
  <si>
    <t xml:space="preserve">Direct (self-submitted) application; faculty proposals may name a student collaborator. Eligibility varies by challenge. Eligible regions include US, Canada, Europe, India, Asia-Pacific, Latin America, Africa, Australia/NZ. Confirmed on funder page.</t>
  </si>
  <si>
    <t xml:space="preserve">Fit and quality of the proposal against the specific open research challenge; potential to advance science and benefit society.</t>
  </si>
  <si>
    <t xml:space="preserve">https://www.microsoft.com/en-us/research/academic-program/microsoft-research-fellowship/</t>
  </si>
  <si>
    <t xml:space="preserve">Challenges span Microsoft Research areas: AI, computer vision, human language technologies, quantum computing, systems, and others.</t>
  </si>
  <si>
    <t xml:space="preserve">NVIDIA Graduate Fellowship Program</t>
  </si>
  <si>
    <t xml:space="preserve">NVIDIA</t>
  </si>
  <si>
    <t xml:space="preserve">Support exceptional PhD students conducting research relevant to GPU computing and its influence on future GPU design, performance, or use.</t>
  </si>
  <si>
    <t xml:space="preserve">Applicants apply directly (not via institutional nomination) — confirmed on funder page. Fellowship year is the 9-month academic year; the mandatory summer internship precedes it. AUDIT 2026-07-18: 'Submissions now CLOSED' on the page reflects a between-cycle window, not discontinuation; standing annual program.</t>
  </si>
  <si>
    <t xml:space="preserve">Up to $60,000 per award (stipend, tuition, and mandatory fees). Confirmed on funder page.</t>
  </si>
  <si>
    <t xml:space="preserve">One academic year (9 months), preceded by a required paid summer internship</t>
  </si>
  <si>
    <t xml:space="preserve">Must have completed at least the first year of PhD study at time of application; enrolled full-time during the fellowship year (funder page references 2026-2027 academic year, graduation no sooner than May/June 2027)</t>
  </si>
  <si>
    <t xml:space="preserve">GPU-relevant computing: AI, robotics, autonomous vehicles, graphics, high-performance computing</t>
  </si>
  <si>
    <t xml:space="preserve">Direct student application with professor nomination/recommendation letters. International students eligible; internship locations limited to US, Canada, Germany, Sweden, Finland, Switzerland, Israel, and Taiwan (confirmed on funder page).</t>
  </si>
  <si>
    <t xml:space="preserve">Quality and impact of the research proposal and its potential to influence the design, performance, or use of future GPUs; academic record; recommendation letters.</t>
  </si>
  <si>
    <t xml:space="preserve">https://research.nvidia.com/graduate-fellowships</t>
  </si>
  <si>
    <t xml:space="preserve">Focus areas: AI, robotics, autonomous vehicles, graphics, HPC and related GPU-relevant fields.</t>
  </si>
  <si>
    <t xml:space="preserve">Pharmaceutical Investigator-Sponsored / Investigator-Initiated Studies (ISS/IIS) programs</t>
  </si>
  <si>
    <t xml:space="preserve">Pharmaceutical industry (Pfizer, Genentech/Roche, AstraZeneca, Gilead, Merck, et al.)</t>
  </si>
  <si>
    <t xml:space="preserve">Provide financial and/or study-drug support for independent studies where the external investigator serves as the study sponsor, within the company's therapeutic areas of interest.</t>
  </si>
  <si>
    <t xml:space="preserve">FAMILY row spanning multiple companies' ISR/IIS programs (Pfizer ISR; Genentech/Roche IIS; AstraZeneca ESR; Gilead investigator-sponsored; Merck Investigator Studies Program). In ISS/IIS the EXTERNAL investigator (not the company) is the regulatory Sponsor - distinct from company-sponsored clinical trials. Sourced from Pfizer as representative; per-company terms, portals, and therapeutic areas differ, hence confidence medium. AUDIT 2026-07-18: Pfizer ISR confirmed active (global program, six therapeutic areas incl. internal medicine, batched review windows).</t>
  </si>
  <si>
    <t xml:space="preserve">Varies by company and study; funding and/or study drug/compound support; amounts not publicly fixed</t>
  </si>
  <si>
    <t xml:space="preserve">Study-dependent (varies)</t>
  </si>
  <si>
    <t xml:space="preserve">Qualified investigators (typically physicians/researchers at an institution able to assume the study-sponsor role)</t>
  </si>
  <si>
    <t xml:space="preserve">Company-specific therapeutic areas; Pfizer's current six ISR areas (representative): oncology, rare disease, vaccines &amp; antivirals, inflammation &amp; immunology, internal medicine, anti-infectives</t>
  </si>
  <si>
    <t xml:space="preserve">Open broadly to researchers who will serve as the study Sponsor (assuming regulatory/sponsor obligations). Company approves scientific merit and alignment with its areas of interest; submitted via each company's grant portal. Application windows are batched and vary by company (confirmed for Pfizer: unsolicited requests accepted only within defined review cycles).</t>
  </si>
  <si>
    <t xml:space="preserve">Scientific merit, feasibility, and alignment with the company's stated areas of interest; compliance/scientific-independence requirements apply.</t>
  </si>
  <si>
    <t xml:space="preserve">https://www.pfizer.com/about/programs-policies/grants/investigator-sponsored-research</t>
  </si>
  <si>
    <t xml:space="preserve">Support may be cash, study drug/compound, or both. Therapeutic areas and submission windows vary by company.</t>
  </si>
  <si>
    <t xml:space="preserve">Qualcomm Innovation Fellowship (QIF) - North America</t>
  </si>
  <si>
    <t xml:space="preserve">Qualcomm</t>
  </si>
  <si>
    <t xml:space="preserve">Recognize and fund innovative PhD student research; foster Qualcomm's values of innovation, execution, and teamwork.</t>
  </si>
  <si>
    <t xml:space="preserve">Award ($50k/entrant) is paid to the university department to fund the students' research expenses; two-person team structure. Limited to participating universities. Separate QIF tracks exist for other regions internationally. AUDIT 2026-07-18: funder page confirms the 2026 North America cohort with '16 winning teams' (matches selectivity).</t>
  </si>
  <si>
    <t xml:space="preserve">$50,000 per entrant (i.e., $100,000 per two-person team), paid to the university department; plus Qualcomm mentorship</t>
  </si>
  <si>
    <t xml:space="preserve">One program year (Fall-Spring)</t>
  </si>
  <si>
    <t xml:space="preserve">PhD students enrolled for the entire program academic year; two-person teams; at least one member from EE/CS or a related department</t>
  </si>
  <si>
    <t xml:space="preserve">Two-person teams; at least one member from Electrical Engineering/Computer Science or related department; enrolled in a PhD program for the full program year. Limited to participating (invited) universities.</t>
  </si>
  <si>
    <t xml:space="preserve">16 winning teams selected in the 2026 North America cohort (confirmed on funder page)</t>
  </si>
  <si>
    <t xml:space="preserve">Innovativeness of the proposal (the fellowship rewards the most innovative proposals); execution and teamwork.</t>
  </si>
  <si>
    <t xml:space="preserve">https://www.qualcomm.com/research/university-relations/innovation-fellowship/2026-north-america</t>
  </si>
  <si>
    <t xml:space="preserve">Participating universities include CMU, MIT, Princeton, Stanford, UC Berkeley, UCLA, UCSD, Columbia, Michigan, ASU, and others.</t>
  </si>
  <si>
    <t xml:space="preserve">EMBO Postdoctoral Fellowships</t>
  </si>
  <si>
    <t xml:space="preserve">European Molecular Biology Organization (EMBO)</t>
  </si>
  <si>
    <t xml:space="preserve">international_mobility</t>
  </si>
  <si>
    <t xml:space="preserve">Fellowships supporting internationally mobile postdocs to carry out research in a new country, with international mobility as a defining criterion.</t>
  </si>
  <si>
    <t xml:space="preserve">Formerly EMBO Long-Term Fellowships. Applications accepted year-round with periodic deadlines (cadence=rolling; next cutoff 22 Jan 2027). Geographic incoming/outgoing structure relative to EMBC member states is EMBO's established framework; core eligibility facts verified current (2026-07-18).</t>
  </si>
  <si>
    <t xml:space="preserve">Salary or stipend (varies by host country) + relocation allowance + support for fellows with children</t>
  </si>
  <si>
    <t xml:space="preserve">mobility_required</t>
  </si>
  <si>
    <t xml:space="preserve">PhD obtained within 2 years before the application submission date</t>
  </si>
  <si>
    <t xml:space="preserve">no explicit award exclusion; bounded by &lt;=2 yrs since PhD. Confirmed policy change: from the Autumn 2027 round only one EMBO Fellowship application is permitted per applicant, and (from Autumn 2026) a host lab may support only one candidate per round.</t>
  </si>
  <si>
    <t xml:space="preserve">All nationalities. INTERNATIONAL MOBILITY is a hard requirement: the application must involve movement between countries; applicants may not go to the country where the PhD was obtained, return to a lab where they worked &gt;6 months, or work with their original PhD supervisor. A first-author refereed preprint counts as a first-author publication. Mobility, up-to-2-yr duration, rolling-with-deadline cadence, and the one-application rule confirmed on current EMBO page (2026-07-18).</t>
  </si>
  <si>
    <t xml:space="preserve">Highly competitive; rate unspecified</t>
  </si>
  <si>
    <t xml:space="preserve">EMBO review: scientific quality and originality of the project, the applicant's track record and potential, and the training/mobility value of the proposed move.</t>
  </si>
  <si>
    <t xml:space="preserve">https://www.embo.org/funding/fellowships-grants-and-awards/postdoctoral-fellowships/</t>
  </si>
  <si>
    <t xml:space="preserve">US relevance chiefly for outgoing Europe-to-US and incoming US-to-Europe moves.</t>
  </si>
  <si>
    <t xml:space="preserve">EMBO Young Investigator Programme (YIP)</t>
  </si>
  <si>
    <t xml:space="preserve">career_development, community</t>
  </si>
  <si>
    <t xml:space="preserve">Recognition-and-support programme for outstanding early-career life-science group leaders, providing networking, mentoring, and training within the EMBO Young Investigator network.</t>
  </si>
  <si>
    <t xml:space="preserve">Included per task specifically to flag the geographic eligibility constraint. Not a research grant - it is a career-development/network membership with modest networking funds. citizenship_residency=host_country_institution_required captures the lab-location gate; institution_type_restriction=other reflects the EMBC/Global-Partner-country requirement. Group-leader window (1-4 yr) and last-author-pub requirement verified current (2026-07-18); an earlier unverifiable '24-28 per round' selectivity figure was removed.</t>
  </si>
  <si>
    <t xml:space="preserve">Financial support for networking over 4 years plus mentoring, training, and access to EMBO/EMBL resources and core facilities; exact amount unspecified</t>
  </si>
  <si>
    <t xml:space="preserve">Independent research group leader for at least 1 and no more than 4 years at the pre-application deadline; no age or years-since-PhD limit</t>
  </si>
  <si>
    <t xml:space="preserve">GEOGRAPHIC GATE (key filter, confirmed on current eligibility page): the applicant's independent lab must be located in an EMBC Member State, EMBC Associate Member State, or an EMBO Global Partner (e.g., India, Singapore, Taiwan, Chile). U.S.-based group leaders are GENERALLY NOT ELIGIBLE because the USA is not an EMBC member/associate state or Global Partner; a U.S. researcher qualifies only if they run a lab in an eligible country. Requires &gt;=1 last-author peer-reviewed publication (or verified peer-reviewed preprint) from the independent group.</t>
  </si>
  <si>
    <t xml:space="preserve">Highly competitive; small annual cohort (exact rate unspecified)</t>
  </si>
  <si>
    <t xml:space="preserve">EMBO selection: excellence of the research track record and scientific achievements as an independent group leader.</t>
  </si>
  <si>
    <t xml:space="preserve">https://www.embo.org/funding/fellowships-grants-and-career-support/young-investigator-programme/eligibility/</t>
  </si>
  <si>
    <t xml:space="preserve">Primary reason for inclusion is to document that U.S.-based PIs are generally excluded.</t>
  </si>
  <si>
    <t xml:space="preserve">Fulbright U.S. Scholar Program</t>
  </si>
  <si>
    <t xml:space="preserve">Fulbright Program (U.S. Department of State, Bureau of Educational and Cultural Affairs)</t>
  </si>
  <si>
    <t xml:space="preserve">Support U.S. scholars to teach, conduct research, or carry out professional projects abroad to promote international understanding and cooperation.</t>
  </si>
  <si>
    <t xml:space="preserve">Umbrella program with 380+ awards; concrete eligibility (career stage, degree recency, teaching vs research) is set per individual country/award. Row captures the durable standing program, not a single country award. Verified current on fulbrightscholars.org (2026-07-18).</t>
  </si>
  <si>
    <t xml:space="preserve">Varies by country/award (monthly living stipend + travel and benefits); no single fixed amount published</t>
  </si>
  <si>
    <t xml:space="preserve">Several months to a full academic year</t>
  </si>
  <si>
    <t xml:space="preserve">Varies by award type (Early Career: &lt;=7 yrs experience; Mid-Career: &gt;7 and &lt;13 yrs; Senior: &gt;13 yrs; Distinguished: &gt;7 yrs; Postdoctoral: doctorate conferred within 5-7 years before award start)</t>
  </si>
  <si>
    <t xml:space="preserve">yes: recipients must wait two years after completing a prior Fulbright award before reapplying</t>
  </si>
  <si>
    <t xml:space="preserve">U.S. citizenship required by the application deadline; permanent residency is NOT sufficient (confirmed on current page). Ineligible if resided abroad 5+ of the preceding 6 years (9+ months in a calendar year counts as a full year). Grantee goes abroad to teach, research, or pursue a professional project in one of 120+ countries. Career-stage and degree-recency requirements vary by the specific country/award (Early Career, Mid-Career, Senior, Distinguished, Postdoctoral).</t>
  </si>
  <si>
    <t xml:space="preserve">380+ awards across 120+ countries (confirmed on funder page); per-award rate unspecified</t>
  </si>
  <si>
    <t xml:space="preserve">Discipline peer-review panels plus binational commission/post review: quality and feasibility of the project, applicant qualifications, and contribution to the Fulbright objective of mutual understanding.</t>
  </si>
  <si>
    <t xml:space="preserve">https://fulbrightscholars.org/us-scholar-awards</t>
  </si>
  <si>
    <t xml:space="preserve">Administered by IIE/CIES for State Dept ECA. Award variants by country and by type (Teaching, Research, Teaching/Research, Distinguished Scholar, Postdoctoral).</t>
  </si>
  <si>
    <t xml:space="preserve">Fulbright U.S. Student Program</t>
  </si>
  <si>
    <t xml:space="preserve">research_project, training, salary_stipend</t>
  </si>
  <si>
    <t xml:space="preserve">Grants for U.S. graduating seniors, graduate students, and young professionals to study, conduct research, or teach English abroad.</t>
  </si>
  <si>
    <t xml:space="preserve">Grant types are variants of one program: Study/Research Awards (incl. creative/performing arts), English Teaching Assistant (ETA), Fulbright-National Geographic, and Fulbright-Fogarty (public health). Study/Research vs ETA differ in purpose but share core eligibility, so collapsed to one standing-program row. Verified current on us.fulbrightonline.org (2026-07-18).</t>
  </si>
  <si>
    <t xml:space="preserve">Varies by country/award; covers living stipend, travel, and support</t>
  </si>
  <si>
    <t xml:space="preserve">Typically one academic year (varies by award)</t>
  </si>
  <si>
    <t xml:space="preserve">Bachelor's degree by award start; no Ph.D.; non-enrolled applicants typically &lt;=7 years of professional experience in the field</t>
  </si>
  <si>
    <t xml:space="preserve">Applicants may not already hold a Ph.D.; prior Fulbright U.S. Student grantees are lower priority for a second grant</t>
  </si>
  <si>
    <t xml:space="preserve">U.S. citizen by award start; must hold a bachelor's by start and NOT hold a Ph.D. (confirmed on current page). Currently enrolled undergraduate/graduate students apply through their home-campus Fulbright Program Adviser (endorsement, not a capped nomination); graduating seniors, young professionals with limited experience (typically &lt;=7 yrs), and artists may apply directly (at-large). Grantee goes abroad to 140+ partner countries.</t>
  </si>
  <si>
    <t xml:space="preserve">National Screening Committee plus host-country review: academic/professional record, feasibility and merit of the proposed project, and promotion of mutual understanding.</t>
  </si>
  <si>
    <t xml:space="preserve">https://us.fulbrightonline.org/about/fulbright-us-student-program</t>
  </si>
  <si>
    <t xml:space="preserve">Enrolled students apply through campus; at-large applicants apply directly. Partnership awards (Nat Geo, Fogarty) are sub-variants.</t>
  </si>
  <si>
    <t xml:space="preserve">DAAD Research Grants (for U.S./Canadian applicants)</t>
  </si>
  <si>
    <t xml:space="preserve">German Academic Exchange Service (DAAD)</t>
  </si>
  <si>
    <t xml:space="preserve">Grants for U.S./Canadian doctoral candidates and postdocs to conduct a short- or long-term research stay in Germany.</t>
  </si>
  <si>
    <t xml:space="preserve">Row captures the standing Research Grants mechanism offered through the DAAD North America (New York) office. Applications open in spring and fall cycles. citizenship_residency=mobility_required per the international_mobility framing (research stay in Germany), with the US/Canada citizen-or-PR gate recorded in eligibility_notes. Confidence lowered to medium: overview fetch did not restate the US/Canada citizenship gate.</t>
  </si>
  <si>
    <t xml:space="preserve">Monthly stipend set by DAAD (varies by career stage) plus health insurance and travel allowance; exact euro amount unspecified on the program page</t>
  </si>
  <si>
    <t xml:space="preserve">Short-term 2-6 months (postdocs) / 2-12 months (doctoral); long-term up to ~4 years for full doctoral study in Germany</t>
  </si>
  <si>
    <t xml:space="preserve">Doctoral candidates and postdocs; must not have lived in Germany &gt;15 consecutive months by the application deadline</t>
  </si>
  <si>
    <t xml:space="preserve">no (former DAAD grantees may apply for Return Grants; standard rules apply)</t>
  </si>
  <si>
    <t xml:space="preserve">Applicant must be a citizen or permanent resident of the USA or Canada (or a foreign national residing in the US/Canada by the deadline), typically enrolled/employed at a U.S./Canadian institution. MOBILITY: the research must be carried out IN GERMANY at a host institution. Variants include One-Year Research Grants, Short-Term Research Grants, Research Stays for established scholars, and bi-nationally supervised (Cotutelle) doctoral grants. Program and Germany-mobility confirmed on daad.org overview (2026-07-18); the specific US/Canada citizenship gate was not surfaced on the fetched overview, hence medium confidence.</t>
  </si>
  <si>
    <t xml:space="preserve">DAAD selection: academic record and qualifications, quality and feasibility of the research project, and the strength of the German host affiliation.</t>
  </si>
  <si>
    <t xml:space="preserve">https://www.daad.org/en/find-funding/graduate-opportunities/research-grants/</t>
  </si>
  <si>
    <t xml:space="preserve">DAAD also runs the AICGS/AGI Research Fellowship and the German Studies Research Grant (distinct mechanisms). Exact monthly rates set by DAAD and not published on the fetched overview page.</t>
  </si>
  <si>
    <t xml:space="preserve">HFSP Cross-Disciplinary Fellowship (CDF)</t>
  </si>
  <si>
    <t xml:space="preserve">Human Frontier Science Program (HFSPO)</t>
  </si>
  <si>
    <t xml:space="preserve">life_sciences, physical_sciences, computing_math, engineering</t>
  </si>
  <si>
    <t xml:space="preserve">Fellowship enabling researchers with a non-biological doctorate to bring their expertise into the life sciences, in a new country.</t>
  </si>
  <si>
    <t xml:space="preserve">Identical terms to LTF except the filterable eligibility gate on PhD discipline (non-biological required), which is why it is a separate row. Verified current (2026-07-18).</t>
  </si>
  <si>
    <t xml:space="preserve">Living allowance varies by host country; plus research/travel allowance and child/parental/relocation allowances</t>
  </si>
  <si>
    <t xml:space="preserve">3 years (36 months), non-renewable</t>
  </si>
  <si>
    <t xml:space="preserve">PhD conferred no more than 3 years before the full-proposal deadline (e.g., not before 24 Sep 2023 for a 24 Sep 2026 deadline); limited exemptions for career interruptions</t>
  </si>
  <si>
    <t xml:space="preserve">no explicit disqualifying-award list; bounded by degree recency (&lt;=3 yrs since PhD) and mobility rules</t>
  </si>
  <si>
    <t xml:space="preserve">All nationalities eligible. Restricted to holders of a doctorate from a NON-biological discipline (physics, chemistry, mathematics, engineering, computer science) with little or no prior life-sciences experience, moving into life-sciences research. &gt;=1 lead-author publication. Same MOBILITY rule as LTF: new host country != nationality and != PhD country; &lt;=12 months prior in the host country. Confirmed on current HFSP page (2026-07-18).</t>
  </si>
  <si>
    <t xml:space="preserve">Highly competitive (~50-60 fellowships/yr across LTF+CDF combined); rate unspecified</t>
  </si>
  <si>
    <t xml:space="preserve">HFSP review committee: scientific excellence, novelty/frontier and interdisciplinary character, applicant potential, and the value of the disciplinary shift into life sciences plus mobility.</t>
  </si>
  <si>
    <t xml:space="preserve">https://www.hfsp.org/funding/hfsp-funding/postdoctoral-fellowships</t>
  </si>
  <si>
    <t xml:space="preserve">CDF = non-biological-discipline PhDs entering life sciences.</t>
  </si>
  <si>
    <t xml:space="preserve">HFSP Long-Term Fellowship (LTF)</t>
  </si>
  <si>
    <t xml:space="preserve">Fellowship for early postdocs holding a life-sciences PhD to pursue a novel, frontier project that shifts direction from their doctoral work, in a new country.</t>
  </si>
  <si>
    <t xml:space="preserve">Frontier/novel basic life-science emphasis. Differs from the Cross-Disciplinary Fellowship only by the applicant's PhD discipline (biological vs non-biological) - a filterable eligibility difference - so kept as a separate row. 3-yr window, mobility, lead-author pub, 36-mo non-renewable all verified current (2026-07-18).</t>
  </si>
  <si>
    <t xml:space="preserve">All nationalities eligible. Requires a PhD on a biological topic and &gt;=1 lead-author full-length peer-reviewed publication in English. MOBILITY REQUIRED: must move to a host country different from both nationality AND PhD country, and cannot have spent &gt;12 months previously in the proposed host country. U.S. relevance is strong (either incoming to a U.S. host lab from abroad, or a U.S.-trained researcher moving abroad). All confirmed on current HFSP page (2026-07-18).</t>
  </si>
  <si>
    <t xml:space="preserve">HFSP review committee: scientific excellence, novelty/frontier and interdisciplinary character of the project, applicant potential, and the value of the proposed change of research direction and mobility.</t>
  </si>
  <si>
    <t xml:space="preserve">LTF = biological-discipline PhDs. CDF (separate row) covers non-biological PhDs entering life sciences; terms otherwise identical.</t>
  </si>
  <si>
    <t xml:space="preserve">HFSP Research Grant - Early Career</t>
  </si>
  <si>
    <t xml:space="preserve">Grants for interdisciplinary international teams of early-stage independent researchers to tackle fundamental biological problems with novel, high-risk approaches.</t>
  </si>
  <si>
    <t xml:space="preserve">Early-career variant of HFSP Research Grants; differs from Program Grants only on the filterable career-stage cap (&lt;=5 yrs independent, &lt;=10 yrs since PhD). Award amounts marked est. (not shown on current page).</t>
  </si>
  <si>
    <t xml:space="preserve">Fixed sum by team size (est.): ~$300k/yr (2 members), ~$400k/yr (3), ~$500k/yr (4); exact amounts not published on the current grants page</t>
  </si>
  <si>
    <t xml:space="preserve">All team members within 5 years of obtaining an independent position AND within 10 years of their first doctorate at the LOI deadline (parental/medical/military leave excepted)</t>
  </si>
  <si>
    <t xml:space="preserve">Same team/country/international rules as Program Grants (2-4 independent lab heads in different countries, preferably intercontinental; PI in an HFSPO member country incl. USA), BUT every member must be within 5 years of obtaining an independent position AND within 10 years of their first doctorate (exceptions for parental/medical/military leave). Career-stage window confirmed on current HFSP grants page (2026-07-18).</t>
  </si>
  <si>
    <t xml:space="preserve">Highly competitive; two-stage LOI + invited full proposal; rate unspecified</t>
  </si>
  <si>
    <t xml:space="preserve">HFSP review: scientific excellence, novelty and high-risk/frontier nature, interdisciplinarity, and the added value of the international collaboration.</t>
  </si>
  <si>
    <t xml:space="preserve">https://www.hfsp.org/funding/hfsp-funding/research-grants</t>
  </si>
  <si>
    <t xml:space="preserve">US-based early-career PIs eligible as Principal Applicant (USA is an HFSPO member country).</t>
  </si>
  <si>
    <t xml:space="preserve">HFSP Research Grant - Program</t>
  </si>
  <si>
    <t xml:space="preserve">Grants for interdisciplinary international teams to address fundamental biological problems with novel, high-risk collaborative approaches.</t>
  </si>
  <si>
    <t xml:space="preserve">Program Grants = any career stage. Differs from Early Career Grants only on the filterable career-stage cap, hence separate rows. Award is a fixed sum by team size (exact amounts not shown on current page; figures marked est.). citizenship_residency set to 'other' because the requirement is a cross-border team (with a PI in an HFSPO member country incl. USA), not individual mobility.</t>
  </si>
  <si>
    <t xml:space="preserve">Any career stage</t>
  </si>
  <si>
    <t xml:space="preserve">Teams of 2-4 independent researchers, each directing a lab and holding a doctorate (PhD/MD/equiv), based in DIFFERENT countries (international, preferably intercontinental; normally one member per country). Any career stage. The Principal Applicant must have a lab in an HFSPO member country - which includes the USA - while Co-Applicants may be in any country. Teams with all members in one country are ineligible. Constraint is cross-border TEAM composition, not personal relocation. Team/country/PI-location rules confirmed on current HFSP grants page (2026-07-18).</t>
  </si>
  <si>
    <t xml:space="preserve">US-based PIs eligible as Principal Applicant (USA is an HFSPO member country).</t>
  </si>
  <si>
    <t xml:space="preserve">NATO Science for Peace and Security (SPS) Programme - Multi-Year Projects</t>
  </si>
  <si>
    <t xml:space="preserve">NATO Science for Peace and Security (SPS) Programme</t>
  </si>
  <si>
    <t xml:space="preserve">Grants funding civil, security-related applied R&amp;D collaboration between scientists and experts in NATO member and partner countries.</t>
  </si>
  <si>
    <t xml:space="preserve">SPS also funds smaller event-based grants - Advanced Research Workshops (ARW), Advanced Training Courses (ATC), and Advanced Study Institutes (ASI) - which are distinct, lower-value mechanisms (travel_conference/training in character). This row captures the flagship Multi-Year Project (applied R&amp;D) mechanism. Classified as research_grant (collaborative applied R&amp;D), not cooperative_agreement, since NATO's role is priority-setting/oversight rather than NIH-U-series-style co-execution. citizenship_residency=other because the gate is a bi-national co-director requirement, not personal relocation.</t>
  </si>
  <si>
    <t xml:space="preserve">~EUR 400,000 for a 36-month Multi-Year Project (est.; amount not restated on current SPS pages); higher budgets considered if justified</t>
  </si>
  <si>
    <t xml:space="preserve">24-36 months</t>
  </si>
  <si>
    <t xml:space="preserve">Any career stage (established scientist/expert able to co-direct a project)</t>
  </si>
  <si>
    <t xml:space="preserve">SPS Key Priorities (civil, security-related science; 14 Key Priorities as of 2024): emerging/advanced and disruptive technologies, cyber defence, counter-terrorism, CBRNE defence, energy and environmental/climate security, and support to NATO operations</t>
  </si>
  <si>
    <t xml:space="preserve">Each activity requires TWO co-directors: a NATO-country Project Director (NPD) resident and employed in a NATO member country - U.S.-based researchers qualify as NPDs - AND a Partner-country Project Director (PPD) resident and employed in an eligible NATO partner country; the proposal must be developed jointly. Cross-border NATO-plus-partner collaboration is mandatory. Activity must address at least one SPS Key Priority (security-related). SPS Key Priorities confirmed current on nato.int (14 priorities as of 2024); exact MYP amount and NPD/PPD co-director wording not restated on the fetched pages, hence medium confidence.</t>
  </si>
  <si>
    <t xml:space="preserve">SPS assessment: scientific merit, relevance to SPS Key Priorities and NATO's strategic objectives, and the practical/security impact of the NATO-partner cooperation.</t>
  </si>
  <si>
    <t xml:space="preserve">https://www.nato.int/en/about-us/organization/nato-structure/science-for-peace-and-security-hub/science-for-peace-and-security-programme</t>
  </si>
  <si>
    <t xml:space="preserve">Calls for proposals are issued periodically (cadence=irregular). U.S. researchers participate as NATO-country Project Directors; a partner-country co-director is mandatory. Amount and co-director details carried forward as est. pending a live NOFO/call check.</t>
  </si>
  <si>
    <t xml:space="preserve">Schmidt Science Fellows</t>
  </si>
  <si>
    <t xml:space="preserve">Schmidt Science Fellows (Schmidt Sciences, in partnership with the Rhodes Trust)</t>
  </si>
  <si>
    <t xml:space="preserve">Interdisciplinary postdoctoral fellowship enabling emerging scientists to pivot from their PhD discipline into bold new fields, with a global placement and a science-leadership development program.</t>
  </si>
  <si>
    <t xml:space="preserve">Nomination-gated limited submission via partner institutions (submission_path=institutional_nomination_limited; institution_type_restriction=other for the nominating-partner requirement). Supports international mobility through global placement, though the mandatory change is disciplinary rather than a required country change - hence citizenship_residency=open_any_nationality with the pivot noted. Stipend marked est. (not restated on current pages).</t>
  </si>
  <si>
    <t xml:space="preserve">US$110,000/yr personal stipend (est.; historically published amount, not restated on the current eligibility pages) plus program support</t>
  </si>
  <si>
    <t xml:space="preserve">1-2 year postdoctoral placement</t>
  </si>
  <si>
    <t xml:space="preserve">PhD requirements (incl. successful defense) completed within a defined window (between 1 May 2026 and 30 June 2027 for the 2027 cohort, per current page)</t>
  </si>
  <si>
    <t xml:space="preserve">unspecified (targets researchers completing the PhD)</t>
  </si>
  <si>
    <t xml:space="preserve">No stated citizenship restriction (globally open; fellows are selected from many countries). Must be completing a PhD in natural sciences (astronomy, biology, chemistry, physics, earth sciences), engineering, mathematics, or computing; pivots into social/political science or economics are ineligible (confirmed on current page). CORE REQUIREMENT: a genuine disciplinary PIVOT - the postdoctoral placement must be in a field different from the PhD, at a research environment of the fellow's choice anywhere in the world (different from the PhD institution). Applicants must be NOMINATED by their PhD-awarding institution, which must be a Schmidt nominating partner (limited submission). PhD-field, pivot, nomination, and PhD-completion window all verified current (2026-07-18).</t>
  </si>
  <si>
    <t xml:space="preserve">Highly selective (roughly 30 fellows/yr globally); rate unspecified</t>
  </si>
  <si>
    <t xml:space="preserve">Schmidt selection: scientific excellence, readiness and motivation to pivot beyond the PhD discipline, interdisciplinary thinking, learning agility, comfort with scientific risk, and leadership potential.</t>
  </si>
  <si>
    <t xml:space="preserve">https://schmidtsciencefellows.org/selection/who-can-apply/</t>
  </si>
  <si>
    <t xml:space="preserve">Stipend US$110,000/yr (est.). 1-2 yr placement. Run by Schmidt Sciences with the Rhodes Trust. Nationality-openness is well established but not explicitly restated on the fetched page.</t>
  </si>
  <si>
    <t xml:space="preserve">Fulbright-Hays Doctoral Dissertation Research Abroad (DDRA)</t>
  </si>
  <si>
    <t xml:space="preserve">U.S. Department of Education (International and Foreign Language Education)</t>
  </si>
  <si>
    <t xml:space="preserve">social_sciences, humanities</t>
  </si>
  <si>
    <t xml:space="preserve">Fellowships for doctoral candidates to conduct dissertation research abroad in modern foreign languages and area studies, building U.S. expertise on world areas.</t>
  </si>
  <si>
    <t xml:space="preserve">Legal applicant is the U.S. institution of higher education, which selects and forwards fellows via a campus Project Director; substance is an individual dissertation fellowship. CFDA 84.022A. ed.gov URL verified current (2026-07-18).</t>
  </si>
  <si>
    <t xml:space="preserve">~$37,000-$43,000 (est.; recent average awards per ed.gov: FY2023 ~$38,923, FY2022 ~$37,504, FY2021 ~$42,745); covers travel, maintenance, dependents allowance, project costs, and insurance</t>
  </si>
  <si>
    <t xml:space="preserve">6 to 12 months (non-renewable)</t>
  </si>
  <si>
    <t xml:space="preserve">Graduate student admitted to doctoral candidacy at a U.S. institution</t>
  </si>
  <si>
    <t xml:space="preserve">Modern foreign languages and area studies focused on world areas not generally included in U.S. curricula; projects focusing on Western Europe are NOT supported</t>
  </si>
  <si>
    <t xml:space="preserve">no (non-renewable award; standard federal restrictions apply)</t>
  </si>
  <si>
    <t xml:space="preserve">U.S. citizen, national, or permanent resident. Must be a graduate student admitted to doctoral candidacy in modern foreign languages and area studies, planning a U.S. teaching career, with adequate target-language skills. Research abroad 6-12 months. Projects focusing on Western Europe are not supported (supplementary work there allowed only if it supports a non-European topic). All confirmed on current ed.gov page (2026-07-18).</t>
  </si>
  <si>
    <t xml:space="preserve">Peer review per published EDGAR selection criteria: quality of the proposed project, applicant qualifications and language proficiency, and contribution to the development of area/language studies.</t>
  </si>
  <si>
    <t xml:space="preserve">https://www.ed.gov/grants-and-programs/grants-higher-education/ifle/fulbright-hays-doctoral-dissertation-research-abroad</t>
  </si>
  <si>
    <t xml:space="preserve">Companion Fulbright-Hays Faculty Research Abroad (FRA) serves faculty and is a distinct mechanism.</t>
  </si>
  <si>
    <t xml:space="preserve">CIRM Research Awards (Discovery / Translational / Clinical stage programs)</t>
  </si>
  <si>
    <t xml:space="preserve">California Institute for Regenerative Medicine (CIRM)</t>
  </si>
  <si>
    <t xml:space="preserve">state_regional</t>
  </si>
  <si>
    <t xml:space="preserve">Fund the stem-cell/regenerative-medicine pipeline from early-stage discovery through preclinical (translational) work to clinical-stage research demonstrating scientific excellence.</t>
  </si>
  <si>
    <t xml:space="preserve">Aggregates CIRM's three research pipeline stages into one mechanism row; research_stage set to translational_productdev as the pipeline's center of gravity, but Discovery track = exploratory/basic and Clinical track = clinical-stage (noted). Not a training vehicle.</t>
  </si>
  <si>
    <t xml:space="preserve">Varies by stage: Discovery ~$1-2M; Translational multi-$M; Clinical up to ~$8-15M+ (est.)</t>
  </si>
  <si>
    <t xml:space="preserve">1-5 years depending on stage</t>
  </si>
  <si>
    <t xml:space="preserve">stem cell / regenerative medicine / cell &amp; gene therapy</t>
  </si>
  <si>
    <t xml:space="preserve">In-state constraint: applicant organizations must be California-based and research must be conducted in California (Prop 71/14). Open to academic institutions, nonprofits and companies. Three stage-based tracks: Discovery (early/basic), Translational/Preclinical, and Clinical.</t>
  </si>
  <si>
    <t xml:space="preserve">Scientific merit / impact, rigor and feasibility, and (for translational/clinical) evidence of promise and readiness to advance toward therapy.</t>
  </si>
  <si>
    <t xml:space="preserve">https://www.cirm.ca.gov/researchers/funding-opportunities/</t>
  </si>
  <si>
    <t xml:space="preserve">Verified 2026-07-18: cirm.ca.gov funding-opportunities index confirms Discovery / Preclinical(Translational) / Clinical / Education / Infrastructure categories as standing. Award sizes are stage-dependent and marked est.; per-program amounts not enumerated on the index page, hence medium confidence.</t>
  </si>
  <si>
    <t xml:space="preserve">CIRM Research Training / Scholars Program (Bridges, COMPASS, SPARK, CIRM Scholars)</t>
  </si>
  <si>
    <t xml:space="preserve">Provide internship and training opportunities to build the next generation of California-based regenerative medicine / stem cell scientists.</t>
  </si>
  <si>
    <t xml:space="preserve">Row aggregates CIRM's education/training portfolio (SPARK, Bridges, COMPASS, CIRM Scholars) because all share career-stage-training purpose and California-host-institution eligibility; tiers differ mainly by trainee level, noted in eligibility_window.</t>
  </si>
  <si>
    <t xml:space="preserve">Institutional training grants; per-trainee stipends vary (unspecified)</t>
  </si>
  <si>
    <t xml:space="preserve">1-3 years of training depending on program tier</t>
  </si>
  <si>
    <t xml:space="preserve">SPARK (CA high-school), Bridges (undergrad/master's), COMPASS (undergrad), CIRM Scholars (doctoral candidates &amp; postdoctoral fellows)</t>
  </si>
  <si>
    <t xml:space="preserve">unspecified (training-grant / trainee mechanism; no prior-award disqualifier published on program page)</t>
  </si>
  <si>
    <t xml:space="preserve">In-state constraint: all programs are hosted at and administered through California academic/research institutions; trainees enroll via a CIRM-funded California host institution. SPARK serves California high-school students; CIRM Scholars supports doctoral and immediate-postdoctoral trainees. Authorized under Prop 71 / Prop 14, which require CIRM-funded work in California.</t>
  </si>
  <si>
    <t xml:space="preserve">Institutional training capacity, mentorship plan, curriculum and diversity of the training environment (foundation/agency training-grant criteria).</t>
  </si>
  <si>
    <t xml:space="preserve">https://www.cirm.ca.gov/programs/education-and-training/</t>
  </si>
  <si>
    <t xml:space="preserve">Verified 2026-07-18: cirm.ca.gov education/training page current and lists all four programs as standing. COMPASS emphasizes diversity/inclusion as a program value but not as an eligibility gate (post-SFFA); identity_targeting=none confirmed. Contact education@cirm.ca.gov.</t>
  </si>
  <si>
    <t xml:space="preserve">CPRIT Individual Investigator Research Award (IIRA)</t>
  </si>
  <si>
    <t xml:space="preserve">Cancer Prevention and Research Institute of Texas (CPRIT)</t>
  </si>
  <si>
    <t xml:space="preserve">Support innovative research projects addressing critically important questions that significantly advance knowledge of the causes, prevention and/or treatment of cancer.</t>
  </si>
  <si>
    <t xml:space="preserve">Standing academic-research mechanism. Variants exist (IIRA for Clinical Translation [IIRACT], IIRA for Cancer in Children &amp; Adolescents) that differ in scope; noted rather than split.</t>
  </si>
  <si>
    <t xml:space="preserve">Up to $300,000/yr direct for up to 3 years (~$900K; indirect capped at 5%; FY2027 salary cap $225K/yr per individual)</t>
  </si>
  <si>
    <t xml:space="preserve">Open to both early-career and established investigators (assistant/associate/full professor, tenure-track or tenured); need not be trained specifically in cancer</t>
  </si>
  <si>
    <t xml:space="preserve">In-state constraint: PI must be a full-time resident of Texas during the award and hold a faculty position at an accredited Texas-based institution/organization. Open to experienced or early-career cancer researchers, including investigators from other disciplines. Single-PI minimum 15% effort (10% each for multiple investigators). Up to $300,000/yr direct for up to 3 years.</t>
  </si>
  <si>
    <t xml:space="preserve">~10% of submissions projected to be funded (per RFA R-27.1)</t>
  </si>
  <si>
    <t xml:space="preserve">Per RFA R-27.1: (1) Significance and Impact; (2) Research Plan (hypothesis, preliminary data, feasibility); (3) Applicant Investigator (experience, expertise, effort). Peer-review panels.</t>
  </si>
  <si>
    <t xml:space="preserve">https://cprit.texas.gov/media/ai5f5mjk/rfa-r-271-iira_final.pdf</t>
  </si>
  <si>
    <t xml:space="preserve">Verified 2026-07-18 against RFA R-27.1 (FY2027; applications open Feb 17 - close Apr 28, 2026). Review criteria updated to the RFA's actual three-factor set (was legacy 'merit/innovation/feasibility' phrasing). CPRIT's other core areas are the Prevention Program and Product Development Research (SBIR-style); High-Impact/High-Risk (HIHR) funds exploratory pilot cancer research.</t>
  </si>
  <si>
    <t xml:space="preserve">CPRIT Recruitment of First-Time, Tenure-Track Faculty (RFT) [with Rising Stars (RRS) and Established Investigators (REI) variants]</t>
  </si>
  <si>
    <t xml:space="preserve">Recruit outstanding cancer researchers to relocate their labs to Texas academic institutions.</t>
  </si>
  <si>
    <t xml:space="preserve">Classified as career_development_award because it funds relocating and establishing an independent cancer-research program in Texas rather than a discrete project. Three career-stage variants collapsed into one row with distinct award sizes noted (RFT/RRS/REI).</t>
  </si>
  <si>
    <t xml:space="preserve">RFT up to $2M / RRS up to $3M / REI up to $4M, each over 5 years</t>
  </si>
  <si>
    <t xml:space="preserve">RFT = first-time, tenure-track faculty (initial faculty appointment)</t>
  </si>
  <si>
    <t xml:space="preserve">no prior-grant exclusion; the RFT gate is a career-stage window (recruit must be at their first tenure-track faculty appointment)</t>
  </si>
  <si>
    <t xml:space="preserve">In-state constraint: awarded to Texas academic institutions to recruit a researcher who must relocate to and establish a lab in Texas (mobility into Texas required). Three variants by career stage: RFT (first-time tenure-track, up to $2M/5yr), RRS (mid-career 'Rising Stars', up to $3M/5yr), REI (established senior investigators, up to $4M/5yr).</t>
  </si>
  <si>
    <t xml:space="preserve">Recruit's research excellence and track record, promise/potential for cancer-research impact, and fit with the Texas host institution.</t>
  </si>
  <si>
    <t xml:space="preserve">https://cprit.texas.gov/funding-opportunities</t>
  </si>
  <si>
    <t xml:space="preserve">Verified 2026-07-18 on cprit.texas.gov funding-opportunities: FY2027 Cycle 1 open (application window Jun 23, 2026 - Jun 21, 2027); RFT $2M / RRS $3M / REI $4M over 5 yr confirmed. Institution (not the individual) submits the recruitment application -&gt; submission_path institutional_nomination_limited.</t>
  </si>
  <si>
    <t xml:space="preserve">James &amp; Esther King Biomedical Research Program</t>
  </si>
  <si>
    <t xml:space="preserve">Florida Department of Health – Biomedical Research Programs</t>
  </si>
  <si>
    <t xml:space="preserve">Expand biomedical knowledge relating to prevention, diagnosis, treatment and cure of tobacco-related diseases, and strengthen Florida's academic health centers and biomedical economy.</t>
  </si>
  <si>
    <t xml:space="preserve">Split from Bankhead-Coley (cancer-only) because this program spans broader tobacco-related disease areas; topic_restricted true with a broader specific_topic.</t>
  </si>
  <si>
    <t xml:space="preserve">unspecified (6/12/24/36/48/54-month budget templates)</t>
  </si>
  <si>
    <t xml:space="preserve">6-54 months</t>
  </si>
  <si>
    <t xml:space="preserve">tobacco-related diseases (cancer, cardiovascular disease, stroke, pulmonary/lung disease)</t>
  </si>
  <si>
    <t xml:space="preserve">In-state constraint: Florida-based investigators/institutions (program aims to strengthen the state's academic health centers). Topic focus on tobacco-related diseases: cancer, cardiovascular disease, stroke and pulmonary disease. Administered by the Florida Department of Health under the Biomedical Research Advisory Council (BRAC), alongside the Bankhead-Coley Cancer Research Program.</t>
  </si>
  <si>
    <t xml:space="preserve">Scientific merit, significance/impact for tobacco-related disease, and feasibility (BRAC-managed peer review).</t>
  </si>
  <si>
    <t xml:space="preserve">https://www.floridahealth.gov/funding-grants/james-and-esther-king-biomedical-research-program/</t>
  </si>
  <si>
    <t xml:space="preserve">Verified 2026-07-18: dedicated floridahealth.gov King page exists and is current (FY2025-26 FOA; materials posted Jan 2026). Topic focus (cancer, cardiovascular, stroke, pulmonary) confirmed; budget templates 6-54 months offered; specific dollar caps not published on the page.</t>
  </si>
  <si>
    <t xml:space="preserve">William G. "Bill" Bankhead Jr. &amp; David Coley Cancer Research Program</t>
  </si>
  <si>
    <t xml:space="preserve">Fund cancer research (including cancers affecting Floridians and cancer disparities) at Florida institutions.</t>
  </si>
  <si>
    <t xml:space="preserve">Split from the James &amp; Esther King program because topic scope differs (cancer-only vs. broad tobacco-related biomedical), a filterable field. Source is the FDOH funding-opportunity index page (the /research-programs1/ URL 404'd); program confirmed as standing there.</t>
  </si>
  <si>
    <t xml:space="preserve">unspecified (multiple mechanisms; 6-48 month budget options)</t>
  </si>
  <si>
    <t xml:space="preserve">1-3 years (6-48 month budget templates)</t>
  </si>
  <si>
    <t xml:space="preserve">In-state constraint: Florida-based research institutions/investigators. Administered by the Florida Department of Health under the Biomedical Research Advisory Council (BRAC). Grant types across cycles include research project grants and pilot/exploratory awards. Funded via the Biomedical Research Trust Fund (tobacco-settlement derived).</t>
  </si>
  <si>
    <t xml:space="preserve">Scientific merit, significance/impact for cancer, and feasibility (BRAC-managed peer review).</t>
  </si>
  <si>
    <t xml:space="preserve">https://www.floridahealth.gov/provider-and-partner-resources/research/funding-opportunity.html</t>
  </si>
  <si>
    <t xml:space="preserve">Verified 2026-07-18: Bankhead-Coley listed as an active Funding Announcement on the FDOH funding-opportunity index (alongside King, Ed &amp; Ethel Moore Alzheimer's, Live Like Bella Pediatric Cancer, Rare Pediatric Diseases, and Florida Cancer Connect Innovation Fund). Medium confidence: index confirms standing but per-mechanism amounts live in the FOA, not the index.</t>
  </si>
  <si>
    <t xml:space="preserve">MSCRF Post-Doctoral Fellowship</t>
  </si>
  <si>
    <t xml:space="preserve">Maryland Stem Cell Research Fund (MSCRF)</t>
  </si>
  <si>
    <t xml:space="preserve">Support postdoctoral fellows conducting human stem cell research (in academia or industry) in Maryland.</t>
  </si>
  <si>
    <t xml:space="preserve">Distinct postdoc-fellowship mechanism split from MSCRF's faculty/company programs (different career stage and purpose).</t>
  </si>
  <si>
    <t xml:space="preserve">Up to $130,000 ($65,000/yr for up to 2 years) (est. - amount not published on current index page)</t>
  </si>
  <si>
    <t xml:space="preserve">Doctoral degree completed within past 3 years (career breaks may extend the window with MSCRF approval)</t>
  </si>
  <si>
    <t xml:space="preserve">human stem cell research / regenerative medicine</t>
  </si>
  <si>
    <t xml:space="preserve">unspecified for the Post-Doctoral Fellowship; note MSCRF's Launch program (separate mechanism) does bar prior MSCRF funding</t>
  </si>
  <si>
    <t xml:space="preserve">In-state constraint: all State-funded stem-cell research must be conducted in Maryland, and the fellow must be employed/retained by an eligible Maryland-based organization (federal labs excluded). Doctorate within past 3 years. No citizenship requirement stated. Administered by TEDCO.</t>
  </si>
  <si>
    <t xml:space="preserve">Scientific merit of the proposal, candidate potential/training environment, and relevance to human stem cell research (Maryland Stem Cell Research Commission review).</t>
  </si>
  <si>
    <t xml:space="preserve">https://www.mscrf.org/funding-opportunities</t>
  </si>
  <si>
    <t xml:space="preserve">Verified 2026-07-18 on mscrf.org: Post-Doctoral Fellowship standing (mid-January cycle; FY26 R2 RFA); '3 years post-doctorate' window and Maryland-conduct requirement confirmed. Award amount not disclosed on the index page (directs to RFA), so typical_award_size marked est. MSCRF (TEDCO) also funds Launch, Discovery, Validation, Clinical, Commercialization, and Manufacturing Assistance; Clinical/Commercialization/Manufacturing require Maryland location and 1:1 non-state match.</t>
  </si>
  <si>
    <t xml:space="preserve">MLSC Life Sciences Research &amp; Collaboration Grants (Neuroscience Consortium, Women's Health Initiative/Collaboration, ARC, Bits to Bytes, Frontiers)</t>
  </si>
  <si>
    <t xml:space="preserve">Massachusetts Life Sciences Center (MLSC)</t>
  </si>
  <si>
    <t xml:space="preserve">Accelerate Massachusetts life-sciences research through competitive, often collaborative academic-industry research grants across rotating priority areas.</t>
  </si>
  <si>
    <t xml:space="preserve">MLSC is a quasi-public state economic-development agency; this row captures its competitive research-grant portfolio. Specific named programs rotate annually and award amounts are not published on the index page, hence medium confidence.</t>
  </si>
  <si>
    <t xml:space="preserve">life sciences (rotating sub-themes: neurodegeneration, women's health, omics, novel therapeutics delivery)</t>
  </si>
  <si>
    <t xml:space="preserve">In-state constraint: applicants must be Massachusetts-based academic/research institutions or companies, with research (and, for capital/BioBoost programs, jobs) located in Massachusetts. MLSC runs a rotating annual portfolio: Neuroscience Consortium (Alzheimer's/neurodegeneration), Women's Health Initiative &amp; Women's Health Collaboration, Accelerating Research through Collaboration (ARC), Bits to Bytes (large omics datasets), Frontiers, and Novel Therapeutics Delivery.</t>
  </si>
  <si>
    <t xml:space="preserve">Scientific merit, collaboration/translational potential, and economic-development benefit to the Massachusetts life-sciences ecosystem.</t>
  </si>
  <si>
    <t xml:space="preserve">https://www.masslifesciences.com/funding-programs/</t>
  </si>
  <si>
    <t xml:space="preserve">Verified 2026-07-18: page current (updated Jun 12, 2026); Neuroscience Consortium open (deadline Aug 31, 2026). The 'Women's Health' programs target gender-specific health conditions as a RESEARCH TOPIC and are open to any PI -&gt; not a women-only eligibility gate; identity_targeting=none confirmed post-SFFA. MLSC also runs capital/infrastructure grants and workforce/business programs (separate mechanisms, not enumerated here).</t>
  </si>
  <si>
    <t xml:space="preserve">NJCCR Postdoctoral Fellowship (PRF)</t>
  </si>
  <si>
    <t xml:space="preserve">New Jersey Commission on Cancer Research (NJCCR)</t>
  </si>
  <si>
    <t xml:space="preserve">Retain early-career scientists devoted to cancer research in New Jersey by supporting mentored postdoctoral training.</t>
  </si>
  <si>
    <t xml:space="preserve">Row is the postdoctoral fellowship specifically (clean career stage / award size). Predoctoral, Bridge and Pilot mechanisms noted rather than split into separate rows to keep the funder's row count proportionate.</t>
  </si>
  <si>
    <t xml:space="preserve">Up to $200,000 total (2 years); stipend up to $65,000/yr inclusive of fringe</t>
  </si>
  <si>
    <t xml:space="preserve">No more than 5 years post-doctorate at application; at least 80% effort on cancer research</t>
  </si>
  <si>
    <t xml:space="preserve">Per RFA 2027: applicants who have already accepted another postdoctoral fellowship are ineligible; otherwise no prior-award disqualifier (state postdoc mechanism, not an NIH-style prior-K exclusion)</t>
  </si>
  <si>
    <t xml:space="preserve">In-state constraint: applicant must be at one of ~23 New Jersey 'Qualifying Research Institutions' (e.g., Rutgers, Princeton, NJ academic medical centers). Citizenship: U.S. citizen or permanent resident required. Requires a faculty Sponsor. Up to $200,000 over 2 years.</t>
  </si>
  <si>
    <t xml:space="preserve">Scientific merit of the proposal, candidate potential, sponsor/training environment, and relevance to cancer (NJCCR peer review).</t>
  </si>
  <si>
    <t xml:space="preserve">https://www.nj.gov/health/ces/documents/njccr/njccr-rfa-2027.pdf</t>
  </si>
  <si>
    <t xml:space="preserve">Verified 2026-07-18 against RFA 2027 (released Nov 7, 2025; due Mar 4, 2026; start Jul 1, 2026): $200K/2yr, stipend up to $65K/yr, &lt;=5 yr post-doctorate, U.S. citizen/PR, NJ Qualifying Research Institution all confirmed; prior_funding_exclusion filled (was 'unspecified'). NJCCR also offers Predoctoral Fellowship (up to $100K/2yr), Research Bridge Grant (up to $200K/2yr), and Pilot Research Grant (up to $100K/2yr); all require a NJ Qualifying Research Institution.</t>
  </si>
  <si>
    <t xml:space="preserve">NJ Commission on Spinal Cord Research (NJCSCR) Individual Research Grant</t>
  </si>
  <si>
    <t xml:space="preserve">New Jersey Commission on Spinal Cord Research (NJCSCR)</t>
  </si>
  <si>
    <t xml:space="preserve">Support independent investigators pursuing established research directions in spinal cord repair, recovery and rehabilitation.</t>
  </si>
  <si>
    <t xml:space="preserve">Represents NJCSCR's flagship investigator mechanism; companion mechanisms (Exploratory grant and fellowships) noted rather than split.</t>
  </si>
  <si>
    <t xml:space="preserve">Up to $200,000/yr (incl. up to 10% indirect)</t>
  </si>
  <si>
    <t xml:space="preserve">1-3 years (3-year awards via annual contracts)</t>
  </si>
  <si>
    <t xml:space="preserve">Open to independent investigators at any level; postdoctoral/graduate fellows may serve as PI with a mentor letter + references</t>
  </si>
  <si>
    <t xml:space="preserve">spinal cord injury/disease (repair, recovery, rehabilitation)</t>
  </si>
  <si>
    <t xml:space="preserve">In-state constraint: PI must be affiliated with a New Jersey academic institution, research organization, or public/private entity with demonstrated research capability. Any nationality may apply if employed by a qualified NJ organization. Up to $200,000/yr for 1-3 years (up to 10% indirect).</t>
  </si>
  <si>
    <t xml:space="preserve">Scientific merit, significance for spinal-cord repair/recovery, and feasibility (Commission peer review).</t>
  </si>
  <si>
    <t xml:space="preserve">https://www.nj.gov/health/spinalcord/documents/researchpgr.pdf</t>
  </si>
  <si>
    <t xml:space="preserve">Verified 2026-07-18 on the NJCSCR program PDF: $200K/yr, 10% indirect cap, 1-3 yr, any-nationality-at-NJ-org all confirmed; ~$3M total available across programs. Companion mechanisms: Exploratory Research Grant (up to $100K/yr, 2 yr non-renewable); Postdoctoral Fellowship ($50K/yr - $36K stipend/$13K research/$1K travel - 3 yr, no indirect); Graduate Student Fellowship ($30K/yr - $25K stipend/$4K research/$1K travel - 2 yr). Funding contingent on state appropriation.</t>
  </si>
  <si>
    <t xml:space="preserve">NCBiotech University Research Grants (Flash Grant, Innovation Impact Grant, Translational Research Grant)</t>
  </si>
  <si>
    <t xml:space="preserve">North Carolina Biotechnology Center (NCBiotech)</t>
  </si>
  <si>
    <t xml:space="preserve">Fund North Carolina university/nonprofit research along the innovation continuum, from early-stage projects (Flash) through translation toward commercialization (IIG, TRG).</t>
  </si>
  <si>
    <t xml:space="preserve">Three university grant tiers collapsed into one mechanism row (same eligibility class and NC-institution restriction); Flash = feasibility/pilot, IIG/TRG = translational toward commercialization (noted). research_stage set to feasibility_pilot for the flagship Flash tier.</t>
  </si>
  <si>
    <t xml:space="preserve">Flash up to $30,000 (R1) / $37,500 (non-R1 w/ intern supplement); IIG up to $150,000; TRG up to $130,000 (or $144,000 w/ project-manager supplement)</t>
  </si>
  <si>
    <t xml:space="preserve">biotechnology / life sciences</t>
  </si>
  <si>
    <t xml:space="preserve">In-state constraint: eligibility limited to North Carolina universities and nonprofit research institutions. Flash Grant supports early-stage research (non-R1 institutions receive a larger cap with an intern supplement); Innovation Impact Grant and Translational Research Grant advance university inventions toward commercialization. Multiple submission cycles/deadlines per fiscal year.</t>
  </si>
  <si>
    <t xml:space="preserve">Scientific/technical merit, and (for IIG/TRG) commercialization potential and path to market.</t>
  </si>
  <si>
    <t xml:space="preserve">https://www.ncbiotech.org/funding/grants</t>
  </si>
  <si>
    <t xml:space="preserve">Verified 2026-07-18 on ncbiotech.org/funding/grants: all three tiers standing with FY27 deadlines open (Flash Jul 15/Oct 21, 2026 &amp; Mar 10, 2027; IIG Sep 30, 2026; TRG Aug 5, 2026 &amp; Jan 27, 2027) and amounts confirmed (Flash $30K R1 / $37.5K non-R1; IIG $150K; TRG $130K, $144K w/ PM supplement). NCBiotech is a state-funded private nonprofit; it also runs company/small-business loan and industry programs beyond these university grants.</t>
  </si>
  <si>
    <t xml:space="preserve">Pennsylvania CURE (Commonwealth Universal Research Enhancement) Health Research Grants - Formula &amp; Nonformula</t>
  </si>
  <si>
    <t xml:space="preserve">Pennsylvania Department of Health – CURE Program</t>
  </si>
  <si>
    <t xml:space="preserve">Enhance health/biomedical research capacity at Pennsylvania institutions using Commonwealth tobacco-settlement funds.</t>
  </si>
  <si>
    <t xml:space="preserve">Two distinct sub-mechanisms (formula allocation vs. competitive nonformula) kept in one row; submission_path='other' reflects the formula allocation model that is not a standard individual/institutional-nomination path.</t>
  </si>
  <si>
    <t xml:space="preserve">biomedical/health research (periodic priority areas set by the Department)</t>
  </si>
  <si>
    <t xml:space="preserve">In-state constraint: eligibility limited to Pennsylvania research institutions. Formula grants are distributed non-competitively (annual allocation) to PA institutions that receive NCI/NIH funding; Nonformula grants are awarded through competitive bid (PA Dept. of General Services procurement). Funded by Pennsylvania tobacco settlement funds (Act 77, 2001). Some cycles include spinal-cord-research grants under the same umbrella.</t>
  </si>
  <si>
    <t xml:space="preserve">Formula: non-competitive allocation keyed to institution's NCI/NIH funding. Nonformula: competitive scientific peer/merit review.</t>
  </si>
  <si>
    <t xml:space="preserve">https://www.pa.gov/agencies/health/research/research/cure</t>
  </si>
  <si>
    <t xml:space="preserve">Verified 2026-07-18 on pa.gov CURE page: program current and standing (active RFAs incl. Spinal Cord Injury Research Grant #67-203; 2025 FAQ; Health Research Advisory Committee meetings). Confidence medium: funder page confirms the two grant types and tobacco-settlement source but does not publish standing award amounts or a fixed competitive cadence.</t>
  </si>
  <si>
    <t xml:space="preserve">TRDRP Postdoctoral Award</t>
  </si>
  <si>
    <t xml:space="preserve">Tobacco-Related Disease Research Program (TRDRP)</t>
  </si>
  <si>
    <t xml:space="preserve">Support postdoctoral research training under a designated mentor on tobacco-related disease.</t>
  </si>
  <si>
    <t xml:space="preserve">Postdoctoral Award selected as the standing early-career mechanism. Note: for the 2027 call TRDRP did NOT offer the Research Award, Pilot Award, New Investigator Award, or Tobacco Policy Research Centers (offered in prior cycles), so those were excluded as not currently active.</t>
  </si>
  <si>
    <t xml:space="preserve">Postdoctoral stipend + research/benefit allowance per TRDRP Appendix B (amount unspecified here)</t>
  </si>
  <si>
    <t xml:space="preserve">tobacco-related disease (incl. nicotine/vaping, cannabis co-use, tobacco policy)</t>
  </si>
  <si>
    <t xml:space="preserve">unspecified (mentored postdoctoral training award; no prior-award disqualifier published on the mechanisms page)</t>
  </si>
  <si>
    <t xml:space="preserve">In-state constraint: TRDRP is administered by the University of California Office of the President and funds researchers at California academic and nonprofit research institutions; the postdoc trains under a designated mentor at a California host institution. Parallel Predoctoral Award supports doctoral students (also up to 3 years).</t>
  </si>
  <si>
    <t xml:space="preserve">Scientific merit, training plan/mentorship, and relevance to tobacco-related disease research (peer review).</t>
  </si>
  <si>
    <t xml:space="preserve">https://www.trdrp.org/what-we-fund/award-mechanisms/</t>
  </si>
  <si>
    <t xml:space="preserve">Verified 2026-07-18 on trdrp.org award-mechanisms: Postdoctoral Award confirmed offered for 2027 (max 3 yr); confirmed Research/Pilot/New Investigator/Policy Centers NOT offered in the 2027 cycle. Optional Cornelius Hopper Diversity Award Supplement (up to $20,000 over 2 yr) is a separate supplement for trainees on funded grants, NOT an eligibility gate on the Postdoctoral Award (identity_targeting=none). TRDRP funded by California Prop 99 / Prop 56 tobacco tax revenue.</t>
  </si>
  <si>
    <t xml:space="preserve">field</t>
  </si>
  <si>
    <t xml:space="preserve">description</t>
  </si>
  <si>
    <t xml:space="preserve">type / allowed values</t>
  </si>
  <si>
    <t xml:space="preserve">Name of the standing mechanism</t>
  </si>
  <si>
    <t xml:space="preserve">free text</t>
  </si>
  <si>
    <t xml:space="preserve">Funding organization</t>
  </si>
  <si>
    <t xml:space="preserve">Top-level funder type</t>
  </si>
  <si>
    <t xml:space="preserve">federal_research | defense_security | mission_applied | professional_society | private_foundation | disease_advocacy | institutional | industry | international_mobility | state_regional</t>
  </si>
  <si>
    <t xml:space="preserve">Country of the run</t>
  </si>
  <si>
    <t xml:space="preserve">Eligible career stage(s), multi-value</t>
  </si>
  <si>
    <t xml:space="preserve">undergraduate | graduate_predoc | postdoc | early_career_faculty | midcareer | senior_established | no_stage_restriction | transition | physician_scientist | reentry</t>
  </si>
  <si>
    <t xml:space="preserve">Instrument type</t>
  </si>
  <si>
    <t xml:space="preserve">research_grant | fellowship | career_development_award | training_grant | cooperative_agreement | contract | prize | loan_repayment | seed_pilot | infrastructure_equipment | travel_conference</t>
  </si>
  <si>
    <t xml:space="preserve">What the money is for, multi-value</t>
  </si>
  <si>
    <t xml:space="preserve">research_project | salary_stipend | training | career_development | equipment | commercialization | travel | community</t>
  </si>
  <si>
    <t xml:space="preserve">Research domain(s), multi-value</t>
  </si>
  <si>
    <t xml:space="preserve">biomedical_health | life_sciences | physical_sciences | engineering | computing_math | social_sciences | humanities | arts | domain_agnostic</t>
  </si>
  <si>
    <t xml:space="preserve">Funder's own stated objective (sourced)</t>
  </si>
  <si>
    <t xml:space="preserve">Positioning / community knowledge, marked</t>
  </si>
  <si>
    <t xml:space="preserve">free text (not official)</t>
  </si>
  <si>
    <t xml:space="preserve">Where in the research arc</t>
  </si>
  <si>
    <t xml:space="preserve">exploratory_highrisk | feasibility_pilot | hypothesis_driven_mature | translational_productdev | infrastructure_resource | coordinated_network | career_training | dissemination_implementation | unspecified</t>
  </si>
  <si>
    <t xml:space="preserve">Amount range; (est.) if estimated</t>
  </si>
  <si>
    <t xml:space="preserve">Award length</t>
  </si>
  <si>
    <t xml:space="preserve">Citizenship / residency gate</t>
  </si>
  <si>
    <t xml:space="preserve">citizen_national_pr_required | residency_required | mobility_required | host_country_institution_required | open_any_nationality | other</t>
  </si>
  <si>
    <t xml:space="preserve">Max years since terminal degree; blank = no time gate</t>
  </si>
  <si>
    <t xml:space="preserve">integer</t>
  </si>
  <si>
    <t xml:space="preserve">Anchor + limit + extensions</t>
  </si>
  <si>
    <t xml:space="preserve">Identity focus, multi-value</t>
  </si>
  <si>
    <t xml:space="preserve">none | women | underrepresented_minorities | disability | first_generation | veterans | other</t>
  </si>
  <si>
    <t xml:space="preserve">Hard restriction vs soft preference</t>
  </si>
  <si>
    <t xml:space="preserve">restricted_to | prioritizes | n/a</t>
  </si>
  <si>
    <t xml:space="preserve">Restricted to a specific disease/topic</t>
  </si>
  <si>
    <t xml:space="preserve">TRUE | FALSE</t>
  </si>
  <si>
    <t xml:space="preserve">The topic, when topic_restricted = TRUE</t>
  </si>
  <si>
    <t xml:space="preserve">Application route</t>
  </si>
  <si>
    <t xml:space="preserve">individual_direct | institutional_nomination_limited | by_invitation | other</t>
  </si>
  <si>
    <t xml:space="preserve">Prior-award bar: disqualifying set AND carve-outs</t>
  </si>
  <si>
    <t xml:space="preserve">free text (from NOFO)</t>
  </si>
  <si>
    <t xml:space="preserve">Institution-type gate</t>
  </si>
  <si>
    <t xml:space="preserve">none | us_institution | pui_only | msi_hbcu_targeted | small_business | nonprofit_only | r1_or_equiv | other</t>
  </si>
  <si>
    <t xml:space="preserve">Residual idiosyncratic gates</t>
  </si>
  <si>
    <t xml:space="preserve">Recurrence (NOT dated deadlines)</t>
  </si>
  <si>
    <t xml:space="preserve">rolling | annual | biennial | irregular</t>
  </si>
  <si>
    <t xml:space="preserve">Success rate or "unspecified"</t>
  </si>
  <si>
    <t xml:space="preserve">Funder's current scored criteria (sourced, drift-sensitive)</t>
  </si>
  <si>
    <t xml:space="preserve">Well-established informal signals only; blank by default (community knowledge)</t>
  </si>
  <si>
    <t xml:space="preserve">Enumerated program vs guidance row</t>
  </si>
  <si>
    <t xml:space="preserve">enumerated | guidance</t>
  </si>
  <si>
    <t xml:space="preserve">Funder's own page</t>
  </si>
  <si>
    <t xml:space="preserve">URL</t>
  </si>
  <si>
    <t xml:space="preserve">Confidence in the row</t>
  </si>
  <si>
    <t xml:space="preserve">high | medium | low</t>
  </si>
  <si>
    <t xml:space="preserve">ISO date verified</t>
  </si>
  <si>
    <t xml:space="preserve">YYYY-MM-DD</t>
  </si>
  <si>
    <t xml:space="preserve">Variants, caveats, sub-agency spread</t>
  </si>
  <si>
    <t xml:space="preserve">US Research-Funding Landscape — QC summary</t>
  </si>
  <si>
    <t xml:space="preserve">Rows (mechanisms)</t>
  </si>
  <si>
    <t xml:space="preserve">Checked date</t>
  </si>
  <si>
    <t xml:space="preserve">Dedup key</t>
  </si>
  <si>
    <t xml:space="preserve">(funder, program_name) — 0 duplicates</t>
  </si>
  <si>
    <t xml:space="preserve">Provenance</t>
  </si>
  <si>
    <t xml:space="preserve">every row carries source_url, confidence, checked_date</t>
  </si>
  <si>
    <t xml:space="preserve">Rows per funder_category (all 10 present)</t>
  </si>
  <si>
    <t xml:space="preserve">Confidence distribution</t>
  </si>
  <si>
    <t xml:space="preserve">Guidance rows (availability-bias categories)</t>
  </si>
  <si>
    <t xml:space="preserve">institutional / guidance</t>
  </si>
  <si>
    <t xml:space="preserve">industry / guidance</t>
  </si>
  <si>
    <t xml:space="preserve">Career-stage coverage — rows containing stage (formula) + distinct categories (verified)</t>
  </si>
  <si>
    <t xml:space="preserve">stage</t>
  </si>
  <si>
    <t xml:space="preserve">rows (live)</t>
  </si>
  <si>
    <t xml:space="preserve"># categories (verified 2026-07-18)</t>
  </si>
  <si>
    <t xml:space="preserve">senior_established</t>
  </si>
  <si>
    <t xml:space="preserve">transition</t>
  </si>
  <si>
    <t xml:space="preserve">physician_scientist</t>
  </si>
  <si>
    <t xml:space="preserve">reentry</t>
  </si>
  <si>
    <t xml:space="preserve">Structural integrity (all verified 0 defects at build)</t>
  </si>
  <si>
    <t xml:space="preserve">disease_advocacy rows not topic_restricted</t>
  </si>
  <si>
    <t xml:space="preserve">0</t>
  </si>
  <si>
    <t xml:space="preserve">topic_restricted=TRUE with blank specific_topic</t>
  </si>
  <si>
    <t xml:space="preserve">identity_gate_type=restricted_to with no identity</t>
  </si>
  <si>
    <t xml:space="preserve">application_cadence holding a dated deadline</t>
  </si>
  <si>
    <t xml:space="preserve">identity_gate_type=restricted_to rows</t>
  </si>
</sst>
</file>

<file path=xl/styles.xml><?xml version="1.0" encoding="utf-8"?>
<styleSheet xmlns="http://schemas.openxmlformats.org/spreadsheetml/2006/main">
  <numFmts count="2">
    <numFmt numFmtId="164" formatCode="General"/>
    <numFmt numFmtId="165" formatCode="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3"/>
      <name val="Arial"/>
      <family val="0"/>
      <charset val="1"/>
    </font>
    <font>
      <b val="true"/>
      <sz val="11"/>
      <color rgb="FF1F3B57"/>
      <name val="Arial"/>
      <family val="0"/>
      <charset val="1"/>
    </font>
    <font>
      <b val="true"/>
      <sz val="10"/>
      <name val="Arial"/>
      <family val="0"/>
      <charset val="1"/>
    </font>
  </fonts>
  <fills count="13">
    <fill>
      <patternFill patternType="none"/>
    </fill>
    <fill>
      <patternFill patternType="gray125"/>
    </fill>
    <fill>
      <patternFill patternType="solid">
        <fgColor rgb="FF1F3B57"/>
        <bgColor rgb="FF003366"/>
      </patternFill>
    </fill>
    <fill>
      <patternFill patternType="solid">
        <fgColor rgb="FFE8EEF4"/>
        <bgColor rgb="FFEAF0F6"/>
      </patternFill>
    </fill>
    <fill>
      <patternFill patternType="solid">
        <fgColor rgb="FFEFECE6"/>
        <bgColor rgb="FFF2F0E9"/>
      </patternFill>
    </fill>
    <fill>
      <patternFill patternType="solid">
        <fgColor rgb="FFE9F0EA"/>
        <bgColor rgb="FFE8EEF4"/>
      </patternFill>
    </fill>
    <fill>
      <patternFill patternType="solid">
        <fgColor rgb="FFF0ECF4"/>
        <bgColor rgb="FFEAF0F6"/>
      </patternFill>
    </fill>
    <fill>
      <patternFill patternType="solid">
        <fgColor rgb="FFFCF3E6"/>
        <bgColor rgb="FFFBECEC"/>
      </patternFill>
    </fill>
    <fill>
      <patternFill patternType="solid">
        <fgColor rgb="FFFBECEC"/>
        <bgColor rgb="FFFCF3E6"/>
      </patternFill>
    </fill>
    <fill>
      <patternFill patternType="solid">
        <fgColor rgb="FFECF2F6"/>
        <bgColor rgb="FFEAF0F6"/>
      </patternFill>
    </fill>
    <fill>
      <patternFill patternType="solid">
        <fgColor rgb="FFEEF4F2"/>
        <bgColor rgb="FFECF2F6"/>
      </patternFill>
    </fill>
    <fill>
      <patternFill patternType="solid">
        <fgColor rgb="FFEAF0F6"/>
        <bgColor rgb="FFECF2F6"/>
      </patternFill>
    </fill>
    <fill>
      <patternFill patternType="solid">
        <fgColor rgb="FFF2F0E9"/>
        <bgColor rgb="FFEFECE6"/>
      </patternFill>
    </fill>
  </fills>
  <borders count="2">
    <border diagonalUp="false" diagonalDown="false">
      <left/>
      <right/>
      <top/>
      <bottom/>
      <diagonal/>
    </border>
    <border diagonalUp="false" diagonalDown="false">
      <left style="thin">
        <color rgb="FFD0D5DA"/>
      </left>
      <right style="thin">
        <color rgb="FFD0D5DA"/>
      </right>
      <top style="thin">
        <color rgb="FFD0D5DA"/>
      </top>
      <bottom style="thin">
        <color rgb="FFD0D5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false" indent="0" shrinkToFit="false"/>
      <protection locked="true" hidden="false"/>
    </xf>
    <xf numFmtId="165" fontId="5" fillId="3"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false" indent="0" shrinkToFit="false"/>
      <protection locked="true" hidden="false"/>
    </xf>
    <xf numFmtId="165" fontId="5" fillId="4"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65" fontId="5" fillId="5"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false" indent="0" shrinkToFit="false"/>
      <protection locked="true" hidden="false"/>
    </xf>
    <xf numFmtId="165" fontId="5" fillId="6" borderId="1" xfId="0" applyFont="true" applyBorder="true" applyAlignment="true" applyProtection="false">
      <alignment horizontal="center" vertical="top" textRotation="0" wrapText="false" indent="0" shrinkToFit="false"/>
      <protection locked="true" hidden="false"/>
    </xf>
    <xf numFmtId="164" fontId="5" fillId="7" borderId="1"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left" vertical="top" textRotation="0" wrapText="false" indent="0" shrinkToFit="false"/>
      <protection locked="true" hidden="false"/>
    </xf>
    <xf numFmtId="165" fontId="5" fillId="7" borderId="1" xfId="0" applyFont="true" applyBorder="true" applyAlignment="true" applyProtection="false">
      <alignment horizontal="center" vertical="top" textRotation="0" wrapText="false" indent="0" shrinkToFit="false"/>
      <protection locked="true" hidden="false"/>
    </xf>
    <xf numFmtId="164" fontId="5" fillId="8" borderId="1"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left" vertical="top" textRotation="0" wrapText="false" indent="0" shrinkToFit="false"/>
      <protection locked="true" hidden="false"/>
    </xf>
    <xf numFmtId="165" fontId="5" fillId="8" borderId="1" xfId="0" applyFont="true" applyBorder="true" applyAlignment="true" applyProtection="false">
      <alignment horizontal="center" vertical="top" textRotation="0" wrapText="false" indent="0" shrinkToFit="false"/>
      <protection locked="true" hidden="false"/>
    </xf>
    <xf numFmtId="164" fontId="5" fillId="9"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left" vertical="top" textRotation="0" wrapText="false" indent="0" shrinkToFit="false"/>
      <protection locked="true" hidden="false"/>
    </xf>
    <xf numFmtId="165" fontId="5" fillId="9" borderId="1" xfId="0" applyFont="true" applyBorder="true" applyAlignment="true" applyProtection="false">
      <alignment horizontal="center" vertical="top" textRotation="0" wrapText="false" indent="0" shrinkToFit="false"/>
      <protection locked="true" hidden="false"/>
    </xf>
    <xf numFmtId="164" fontId="5" fillId="10" borderId="1" xfId="0" applyFont="true" applyBorder="true" applyAlignment="true" applyProtection="false">
      <alignment horizontal="left" vertical="top" textRotation="0" wrapText="true" indent="0" shrinkToFit="false"/>
      <protection locked="true" hidden="false"/>
    </xf>
    <xf numFmtId="164" fontId="5" fillId="10" borderId="1" xfId="0" applyFont="true" applyBorder="true" applyAlignment="true" applyProtection="false">
      <alignment horizontal="left" vertical="top" textRotation="0" wrapText="false" indent="0" shrinkToFit="false"/>
      <protection locked="true" hidden="false"/>
    </xf>
    <xf numFmtId="165" fontId="5" fillId="10" borderId="1" xfId="0" applyFont="true" applyBorder="true" applyAlignment="true" applyProtection="false">
      <alignment horizontal="center" vertical="top" textRotation="0" wrapText="fals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xf numFmtId="164" fontId="5" fillId="11" borderId="1" xfId="0" applyFont="true" applyBorder="true" applyAlignment="true" applyProtection="false">
      <alignment horizontal="left" vertical="top" textRotation="0" wrapText="false" indent="0" shrinkToFit="false"/>
      <protection locked="true" hidden="false"/>
    </xf>
    <xf numFmtId="165" fontId="5" fillId="11" borderId="1" xfId="0" applyFont="true" applyBorder="true" applyAlignment="true" applyProtection="false">
      <alignment horizontal="center" vertical="top" textRotation="0" wrapText="false" indent="0" shrinkToFit="false"/>
      <protection locked="true" hidden="false"/>
    </xf>
    <xf numFmtId="164" fontId="5" fillId="12" borderId="1" xfId="0" applyFont="true" applyBorder="true" applyAlignment="true" applyProtection="false">
      <alignment horizontal="left" vertical="top" textRotation="0" wrapText="true" indent="0" shrinkToFit="false"/>
      <protection locked="true" hidden="false"/>
    </xf>
    <xf numFmtId="164" fontId="5" fillId="12" borderId="1" xfId="0" applyFont="true" applyBorder="true" applyAlignment="true" applyProtection="false">
      <alignment horizontal="left" vertical="top" textRotation="0" wrapText="false" indent="0" shrinkToFit="false"/>
      <protection locked="true" hidden="false"/>
    </xf>
    <xf numFmtId="165" fontId="5" fillId="12" borderId="1" xfId="0" applyFont="true" applyBorder="true" applyAlignment="true" applyProtection="false">
      <alignment horizontal="center" vertical="top"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B57"/>
          <bgColor rgb="FF000000"/>
        </patternFill>
      </fill>
    </dxf>
    <dxf>
      <fill>
        <patternFill patternType="solid">
          <fgColor rgb="FFE8EEF4"/>
          <bgColor rgb="FF000000"/>
        </patternFill>
      </fill>
    </dxf>
    <dxf>
      <fill>
        <patternFill patternType="solid">
          <fgColor rgb="FFE9F0EA"/>
          <bgColor rgb="FF000000"/>
        </patternFill>
      </fill>
    </dxf>
    <dxf>
      <fill>
        <patternFill patternType="solid">
          <fgColor rgb="FFEAF0F6"/>
          <bgColor rgb="FF000000"/>
        </patternFill>
      </fill>
    </dxf>
    <dxf>
      <fill>
        <patternFill patternType="solid">
          <fgColor rgb="FFECF2F6"/>
          <bgColor rgb="FF000000"/>
        </patternFill>
      </fill>
    </dxf>
    <dxf>
      <fill>
        <patternFill patternType="solid">
          <fgColor rgb="FFEEF4F2"/>
          <bgColor rgb="FF000000"/>
        </patternFill>
      </fill>
    </dxf>
    <dxf>
      <fill>
        <patternFill patternType="solid">
          <fgColor rgb="FFEFECE6"/>
          <bgColor rgb="FF000000"/>
        </patternFill>
      </fill>
    </dxf>
    <dxf>
      <fill>
        <patternFill patternType="solid">
          <fgColor rgb="FFF0ECF4"/>
          <bgColor rgb="FF000000"/>
        </patternFill>
      </fill>
    </dxf>
    <dxf>
      <fill>
        <patternFill patternType="solid">
          <fgColor rgb="FFF2F0E9"/>
          <bgColor rgb="FF000000"/>
        </patternFill>
      </fill>
    </dxf>
    <dxf>
      <fill>
        <patternFill patternType="solid">
          <fgColor rgb="FFFBECEC"/>
          <bgColor rgb="FF000000"/>
        </patternFill>
      </fill>
    </dxf>
    <dxf>
      <fill>
        <patternFill patternType="solid">
          <fgColor rgb="FFFCF3E6"/>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8EEF4"/>
      <rgbColor rgb="FF808080"/>
      <rgbColor rgb="FF9999FF"/>
      <rgbColor rgb="FF993366"/>
      <rgbColor rgb="FFFCF3E6"/>
      <rgbColor rgb="FFEAF0F6"/>
      <rgbColor rgb="FF660066"/>
      <rgbColor rgb="FFFF8080"/>
      <rgbColor rgb="FF0066CC"/>
      <rgbColor rgb="FFD0D5DA"/>
      <rgbColor rgb="FF000080"/>
      <rgbColor rgb="FFFF00FF"/>
      <rgbColor rgb="FFFFFF00"/>
      <rgbColor rgb="FF00FFFF"/>
      <rgbColor rgb="FF800080"/>
      <rgbColor rgb="FF800000"/>
      <rgbColor rgb="FF008080"/>
      <rgbColor rgb="FF0000FF"/>
      <rgbColor rgb="FF00CCFF"/>
      <rgbColor rgb="FFECF2F6"/>
      <rgbColor rgb="FFE9F0EA"/>
      <rgbColor rgb="FFF2F0E9"/>
      <rgbColor rgb="FFF0ECF4"/>
      <rgbColor rgb="FFFBECEC"/>
      <rgbColor rgb="FFEEF4F2"/>
      <rgbColor rgb="FFEFECE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4" min="3" style="0" width="16"/>
    <col collapsed="false" customWidth="true" hidden="false" outlineLevel="0" max="6" min="5" style="0" width="22"/>
    <col collapsed="false" customWidth="true" hidden="false" outlineLevel="0" max="7" min="7" style="0" width="20"/>
    <col collapsed="false" customWidth="true" hidden="false" outlineLevel="0" max="8" min="8" style="0" width="22"/>
    <col collapsed="false" customWidth="true" hidden="false" outlineLevel="0" max="10" min="9" style="0" width="52"/>
    <col collapsed="false" customWidth="true" hidden="false" outlineLevel="0" max="11" min="11" style="0" width="22"/>
    <col collapsed="false" customWidth="true" hidden="false" outlineLevel="0" max="12" min="12" style="0" width="30"/>
    <col collapsed="false" customWidth="true" hidden="false" outlineLevel="0" max="13" min="13" style="0" width="16"/>
    <col collapsed="false" customWidth="true" hidden="false" outlineLevel="0" max="14" min="14" style="0" width="24"/>
    <col collapsed="false" customWidth="true" hidden="false" outlineLevel="0" max="15" min="15" style="0" width="16"/>
    <col collapsed="false" customWidth="true" hidden="false" outlineLevel="0" max="16" min="16" style="0" width="34"/>
    <col collapsed="false" customWidth="true" hidden="false" outlineLevel="0" max="17" min="17" style="0" width="20"/>
    <col collapsed="false" customWidth="true" hidden="false" outlineLevel="0" max="19" min="18" style="0" width="16"/>
    <col collapsed="false" customWidth="true" hidden="false" outlineLevel="0" max="20" min="20" style="0" width="30"/>
    <col collapsed="false" customWidth="true" hidden="false" outlineLevel="0" max="21" min="21" style="0" width="26"/>
    <col collapsed="false" customWidth="true" hidden="false" outlineLevel="0" max="22" min="22" style="0" width="46"/>
    <col collapsed="false" customWidth="true" hidden="false" outlineLevel="0" max="23" min="23" style="0" width="22"/>
    <col collapsed="false" customWidth="true" hidden="false" outlineLevel="0" max="24" min="24" style="0" width="46"/>
    <col collapsed="false" customWidth="true" hidden="false" outlineLevel="0" max="26" min="25" style="0" width="16"/>
    <col collapsed="false" customWidth="true" hidden="false" outlineLevel="0" max="27" min="27" style="0" width="50"/>
    <col collapsed="false" customWidth="true" hidden="false" outlineLevel="0" max="28" min="28" style="0" width="40"/>
    <col collapsed="false" customWidth="true" hidden="false" outlineLevel="0" max="29" min="29" style="0" width="16"/>
    <col collapsed="false" customWidth="true" hidden="false" outlineLevel="0" max="30" min="30" style="0" width="42"/>
    <col collapsed="false" customWidth="true" hidden="false" outlineLevel="0" max="32" min="31" style="0" width="16"/>
    <col collapsed="false" customWidth="true" hidden="false" outlineLevel="0" max="33" min="33" style="0" width="44"/>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ustomFormat="false" ht="79.85" hidden="false" customHeight="false" outlineLevel="0" collapsed="false">
      <c r="A2" s="2" t="s">
        <v>33</v>
      </c>
      <c r="B2" s="2" t="s">
        <v>34</v>
      </c>
      <c r="C2" s="3" t="s">
        <v>35</v>
      </c>
      <c r="D2" s="3" t="s">
        <v>36</v>
      </c>
      <c r="E2" s="2" t="s">
        <v>37</v>
      </c>
      <c r="F2" s="3" t="s">
        <v>38</v>
      </c>
      <c r="G2" s="2" t="s">
        <v>39</v>
      </c>
      <c r="H2" s="2" t="s">
        <v>40</v>
      </c>
      <c r="I2" s="2" t="s">
        <v>41</v>
      </c>
      <c r="J2" s="2" t="s">
        <v>42</v>
      </c>
      <c r="K2" s="3" t="s">
        <v>43</v>
      </c>
      <c r="L2" s="2" t="s">
        <v>44</v>
      </c>
      <c r="M2" s="3" t="s">
        <v>45</v>
      </c>
      <c r="N2" s="2" t="s">
        <v>46</v>
      </c>
      <c r="O2" s="4"/>
      <c r="P2" s="2" t="s">
        <v>47</v>
      </c>
      <c r="Q2" s="2" t="s">
        <v>48</v>
      </c>
      <c r="R2" s="3" t="s">
        <v>49</v>
      </c>
      <c r="S2" s="3" t="s">
        <v>50</v>
      </c>
      <c r="T2" s="2" t="s">
        <v>51</v>
      </c>
      <c r="U2" s="2" t="s">
        <v>52</v>
      </c>
      <c r="V2" s="2" t="s">
        <v>53</v>
      </c>
      <c r="W2" s="2" t="s">
        <v>54</v>
      </c>
      <c r="X2" s="2" t="s">
        <v>55</v>
      </c>
      <c r="Y2" s="3" t="s">
        <v>56</v>
      </c>
      <c r="Z2" s="3" t="s">
        <v>57</v>
      </c>
      <c r="AA2" s="2" t="s">
        <v>58</v>
      </c>
      <c r="AB2" s="2" t="s">
        <v>59</v>
      </c>
      <c r="AC2" s="3" t="s">
        <v>60</v>
      </c>
      <c r="AD2" s="3" t="s">
        <v>61</v>
      </c>
      <c r="AE2" s="3" t="s">
        <v>62</v>
      </c>
      <c r="AF2" s="3" t="s">
        <v>63</v>
      </c>
      <c r="AG2" s="2" t="s">
        <v>64</v>
      </c>
    </row>
    <row r="3" customFormat="false" ht="79.85" hidden="false" customHeight="false" outlineLevel="0" collapsed="false">
      <c r="A3" s="2" t="s">
        <v>65</v>
      </c>
      <c r="B3" s="2" t="s">
        <v>34</v>
      </c>
      <c r="C3" s="3" t="s">
        <v>35</v>
      </c>
      <c r="D3" s="3" t="s">
        <v>36</v>
      </c>
      <c r="E3" s="2" t="s">
        <v>66</v>
      </c>
      <c r="F3" s="3" t="s">
        <v>67</v>
      </c>
      <c r="G3" s="2" t="s">
        <v>68</v>
      </c>
      <c r="H3" s="2" t="s">
        <v>40</v>
      </c>
      <c r="I3" s="2" t="s">
        <v>69</v>
      </c>
      <c r="J3" s="2" t="s">
        <v>70</v>
      </c>
      <c r="K3" s="3" t="s">
        <v>71</v>
      </c>
      <c r="L3" s="2" t="s">
        <v>72</v>
      </c>
      <c r="M3" s="3" t="s">
        <v>73</v>
      </c>
      <c r="N3" s="2" t="s">
        <v>74</v>
      </c>
      <c r="O3" s="4"/>
      <c r="P3" s="2" t="s">
        <v>75</v>
      </c>
      <c r="Q3" s="2" t="s">
        <v>48</v>
      </c>
      <c r="R3" s="3" t="s">
        <v>49</v>
      </c>
      <c r="S3" s="3" t="s">
        <v>50</v>
      </c>
      <c r="T3" s="2" t="s">
        <v>76</v>
      </c>
      <c r="U3" s="2" t="s">
        <v>52</v>
      </c>
      <c r="V3" s="2" t="s">
        <v>77</v>
      </c>
      <c r="W3" s="2" t="s">
        <v>48</v>
      </c>
      <c r="X3" s="2" t="s">
        <v>78</v>
      </c>
      <c r="Y3" s="3" t="s">
        <v>79</v>
      </c>
      <c r="Z3" s="3" t="s">
        <v>80</v>
      </c>
      <c r="AA3" s="2" t="s">
        <v>81</v>
      </c>
      <c r="AB3" s="2"/>
      <c r="AC3" s="3" t="s">
        <v>60</v>
      </c>
      <c r="AD3" s="3" t="s">
        <v>82</v>
      </c>
      <c r="AE3" s="3" t="s">
        <v>62</v>
      </c>
      <c r="AF3" s="3" t="s">
        <v>63</v>
      </c>
      <c r="AG3" s="2" t="s">
        <v>83</v>
      </c>
    </row>
    <row r="4" customFormat="false" ht="102.2" hidden="false" customHeight="false" outlineLevel="0" collapsed="false">
      <c r="A4" s="2" t="s">
        <v>84</v>
      </c>
      <c r="B4" s="2" t="s">
        <v>85</v>
      </c>
      <c r="C4" s="3" t="s">
        <v>35</v>
      </c>
      <c r="D4" s="3" t="s">
        <v>36</v>
      </c>
      <c r="E4" s="2" t="s">
        <v>37</v>
      </c>
      <c r="F4" s="3" t="s">
        <v>38</v>
      </c>
      <c r="G4" s="2" t="s">
        <v>39</v>
      </c>
      <c r="H4" s="2" t="s">
        <v>86</v>
      </c>
      <c r="I4" s="2" t="s">
        <v>87</v>
      </c>
      <c r="J4" s="2" t="s">
        <v>88</v>
      </c>
      <c r="K4" s="3" t="s">
        <v>43</v>
      </c>
      <c r="L4" s="2" t="s">
        <v>89</v>
      </c>
      <c r="M4" s="3" t="s">
        <v>90</v>
      </c>
      <c r="N4" s="2" t="s">
        <v>46</v>
      </c>
      <c r="O4" s="4"/>
      <c r="P4" s="2" t="s">
        <v>91</v>
      </c>
      <c r="Q4" s="2" t="s">
        <v>48</v>
      </c>
      <c r="R4" s="3" t="s">
        <v>49</v>
      </c>
      <c r="S4" s="3" t="s">
        <v>50</v>
      </c>
      <c r="T4" s="2" t="s">
        <v>92</v>
      </c>
      <c r="U4" s="2" t="s">
        <v>52</v>
      </c>
      <c r="V4" s="2" t="s">
        <v>93</v>
      </c>
      <c r="W4" s="2" t="s">
        <v>48</v>
      </c>
      <c r="X4" s="2" t="s">
        <v>94</v>
      </c>
      <c r="Y4" s="3" t="s">
        <v>95</v>
      </c>
      <c r="Z4" s="3" t="s">
        <v>57</v>
      </c>
      <c r="AA4" s="2" t="s">
        <v>96</v>
      </c>
      <c r="AB4" s="2" t="s">
        <v>97</v>
      </c>
      <c r="AC4" s="3" t="s">
        <v>98</v>
      </c>
      <c r="AD4" s="3" t="s">
        <v>99</v>
      </c>
      <c r="AE4" s="3" t="s">
        <v>62</v>
      </c>
      <c r="AF4" s="3" t="s">
        <v>63</v>
      </c>
      <c r="AG4" s="2" t="s">
        <v>100</v>
      </c>
    </row>
    <row r="5" customFormat="false" ht="102.2" hidden="false" customHeight="false" outlineLevel="0" collapsed="false">
      <c r="A5" s="2" t="s">
        <v>101</v>
      </c>
      <c r="B5" s="2" t="s">
        <v>102</v>
      </c>
      <c r="C5" s="3" t="s">
        <v>35</v>
      </c>
      <c r="D5" s="3" t="s">
        <v>36</v>
      </c>
      <c r="E5" s="2" t="s">
        <v>103</v>
      </c>
      <c r="F5" s="3" t="s">
        <v>104</v>
      </c>
      <c r="G5" s="2" t="s">
        <v>105</v>
      </c>
      <c r="H5" s="2" t="s">
        <v>40</v>
      </c>
      <c r="I5" s="2" t="s">
        <v>106</v>
      </c>
      <c r="J5" s="2" t="s">
        <v>107</v>
      </c>
      <c r="K5" s="3" t="s">
        <v>108</v>
      </c>
      <c r="L5" s="2" t="s">
        <v>109</v>
      </c>
      <c r="M5" s="3" t="s">
        <v>110</v>
      </c>
      <c r="N5" s="2" t="s">
        <v>74</v>
      </c>
      <c r="O5" s="4"/>
      <c r="P5" s="2" t="s">
        <v>111</v>
      </c>
      <c r="Q5" s="2" t="s">
        <v>48</v>
      </c>
      <c r="R5" s="3" t="s">
        <v>49</v>
      </c>
      <c r="S5" s="3" t="s">
        <v>50</v>
      </c>
      <c r="T5" s="2" t="s">
        <v>112</v>
      </c>
      <c r="U5" s="2" t="s">
        <v>52</v>
      </c>
      <c r="V5" s="2" t="s">
        <v>113</v>
      </c>
      <c r="W5" s="2" t="s">
        <v>54</v>
      </c>
      <c r="X5" s="2" t="s">
        <v>114</v>
      </c>
      <c r="Y5" s="3" t="s">
        <v>79</v>
      </c>
      <c r="Z5" s="3" t="s">
        <v>115</v>
      </c>
      <c r="AA5" s="2" t="s">
        <v>116</v>
      </c>
      <c r="AB5" s="2"/>
      <c r="AC5" s="3" t="s">
        <v>98</v>
      </c>
      <c r="AD5" s="3" t="s">
        <v>117</v>
      </c>
      <c r="AE5" s="3" t="s">
        <v>62</v>
      </c>
      <c r="AF5" s="3" t="s">
        <v>63</v>
      </c>
      <c r="AG5" s="2" t="s">
        <v>118</v>
      </c>
    </row>
    <row r="6" customFormat="false" ht="91" hidden="false" customHeight="false" outlineLevel="0" collapsed="false">
      <c r="A6" s="2" t="s">
        <v>119</v>
      </c>
      <c r="B6" s="2" t="s">
        <v>102</v>
      </c>
      <c r="C6" s="3" t="s">
        <v>35</v>
      </c>
      <c r="D6" s="3" t="s">
        <v>36</v>
      </c>
      <c r="E6" s="2" t="s">
        <v>120</v>
      </c>
      <c r="F6" s="3" t="s">
        <v>121</v>
      </c>
      <c r="G6" s="2" t="s">
        <v>122</v>
      </c>
      <c r="H6" s="2" t="s">
        <v>123</v>
      </c>
      <c r="I6" s="2" t="s">
        <v>124</v>
      </c>
      <c r="J6" s="2" t="s">
        <v>125</v>
      </c>
      <c r="K6" s="3" t="s">
        <v>126</v>
      </c>
      <c r="L6" s="2" t="s">
        <v>127</v>
      </c>
      <c r="M6" s="3" t="s">
        <v>128</v>
      </c>
      <c r="N6" s="2" t="s">
        <v>46</v>
      </c>
      <c r="O6" s="4"/>
      <c r="P6" s="2" t="s">
        <v>129</v>
      </c>
      <c r="Q6" s="2" t="s">
        <v>48</v>
      </c>
      <c r="R6" s="3" t="s">
        <v>49</v>
      </c>
      <c r="S6" s="3" t="s">
        <v>130</v>
      </c>
      <c r="T6" s="2"/>
      <c r="U6" s="2" t="s">
        <v>52</v>
      </c>
      <c r="V6" s="2" t="s">
        <v>131</v>
      </c>
      <c r="W6" s="2" t="s">
        <v>54</v>
      </c>
      <c r="X6" s="2" t="s">
        <v>132</v>
      </c>
      <c r="Y6" s="3" t="s">
        <v>79</v>
      </c>
      <c r="Z6" s="3" t="s">
        <v>57</v>
      </c>
      <c r="AA6" s="2" t="s">
        <v>133</v>
      </c>
      <c r="AB6" s="2"/>
      <c r="AC6" s="3" t="s">
        <v>60</v>
      </c>
      <c r="AD6" s="3" t="s">
        <v>134</v>
      </c>
      <c r="AE6" s="3" t="s">
        <v>62</v>
      </c>
      <c r="AF6" s="3" t="s">
        <v>63</v>
      </c>
      <c r="AG6" s="2" t="s">
        <v>135</v>
      </c>
    </row>
    <row r="7" customFormat="false" ht="91" hidden="false" customHeight="false" outlineLevel="0" collapsed="false">
      <c r="A7" s="2" t="s">
        <v>136</v>
      </c>
      <c r="B7" s="2" t="s">
        <v>102</v>
      </c>
      <c r="C7" s="3" t="s">
        <v>35</v>
      </c>
      <c r="D7" s="3" t="s">
        <v>36</v>
      </c>
      <c r="E7" s="2" t="s">
        <v>137</v>
      </c>
      <c r="F7" s="3" t="s">
        <v>121</v>
      </c>
      <c r="G7" s="2" t="s">
        <v>122</v>
      </c>
      <c r="H7" s="2" t="s">
        <v>123</v>
      </c>
      <c r="I7" s="2" t="s">
        <v>138</v>
      </c>
      <c r="J7" s="2" t="s">
        <v>139</v>
      </c>
      <c r="K7" s="3" t="s">
        <v>126</v>
      </c>
      <c r="L7" s="2" t="s">
        <v>140</v>
      </c>
      <c r="M7" s="3" t="s">
        <v>141</v>
      </c>
      <c r="N7" s="2" t="s">
        <v>142</v>
      </c>
      <c r="O7" s="4" t="n">
        <v>5</v>
      </c>
      <c r="P7" s="2" t="s">
        <v>143</v>
      </c>
      <c r="Q7" s="2" t="s">
        <v>48</v>
      </c>
      <c r="R7" s="3" t="s">
        <v>49</v>
      </c>
      <c r="S7" s="3" t="s">
        <v>130</v>
      </c>
      <c r="T7" s="2"/>
      <c r="U7" s="2" t="s">
        <v>52</v>
      </c>
      <c r="V7" s="2" t="s">
        <v>144</v>
      </c>
      <c r="W7" s="2" t="s">
        <v>48</v>
      </c>
      <c r="X7" s="2" t="s">
        <v>145</v>
      </c>
      <c r="Y7" s="3" t="s">
        <v>79</v>
      </c>
      <c r="Z7" s="3" t="s">
        <v>57</v>
      </c>
      <c r="AA7" s="2" t="s">
        <v>146</v>
      </c>
      <c r="AB7" s="2"/>
      <c r="AC7" s="3" t="s">
        <v>60</v>
      </c>
      <c r="AD7" s="3" t="s">
        <v>147</v>
      </c>
      <c r="AE7" s="3" t="s">
        <v>148</v>
      </c>
      <c r="AF7" s="3" t="s">
        <v>63</v>
      </c>
      <c r="AG7" s="2" t="s">
        <v>149</v>
      </c>
    </row>
    <row r="8" customFormat="false" ht="79.85" hidden="false" customHeight="false" outlineLevel="0" collapsed="false">
      <c r="A8" s="2" t="s">
        <v>150</v>
      </c>
      <c r="B8" s="2" t="s">
        <v>102</v>
      </c>
      <c r="C8" s="3" t="s">
        <v>35</v>
      </c>
      <c r="D8" s="3" t="s">
        <v>36</v>
      </c>
      <c r="E8" s="2" t="s">
        <v>151</v>
      </c>
      <c r="F8" s="3" t="s">
        <v>121</v>
      </c>
      <c r="G8" s="2" t="s">
        <v>152</v>
      </c>
      <c r="H8" s="2" t="s">
        <v>123</v>
      </c>
      <c r="I8" s="2" t="s">
        <v>153</v>
      </c>
      <c r="J8" s="2" t="s">
        <v>154</v>
      </c>
      <c r="K8" s="3" t="s">
        <v>126</v>
      </c>
      <c r="L8" s="2" t="s">
        <v>155</v>
      </c>
      <c r="M8" s="3" t="s">
        <v>141</v>
      </c>
      <c r="N8" s="2" t="s">
        <v>142</v>
      </c>
      <c r="O8" s="4"/>
      <c r="P8" s="2" t="s">
        <v>156</v>
      </c>
      <c r="Q8" s="2" t="s">
        <v>48</v>
      </c>
      <c r="R8" s="3" t="s">
        <v>49</v>
      </c>
      <c r="S8" s="3" t="s">
        <v>130</v>
      </c>
      <c r="T8" s="2"/>
      <c r="U8" s="2" t="s">
        <v>52</v>
      </c>
      <c r="V8" s="2" t="s">
        <v>144</v>
      </c>
      <c r="W8" s="2" t="s">
        <v>48</v>
      </c>
      <c r="X8" s="2" t="s">
        <v>157</v>
      </c>
      <c r="Y8" s="3" t="s">
        <v>79</v>
      </c>
      <c r="Z8" s="3" t="s">
        <v>57</v>
      </c>
      <c r="AA8" s="2" t="s">
        <v>146</v>
      </c>
      <c r="AB8" s="2"/>
      <c r="AC8" s="3" t="s">
        <v>60</v>
      </c>
      <c r="AD8" s="3" t="s">
        <v>147</v>
      </c>
      <c r="AE8" s="3" t="s">
        <v>148</v>
      </c>
      <c r="AF8" s="3" t="s">
        <v>63</v>
      </c>
      <c r="AG8" s="2" t="s">
        <v>158</v>
      </c>
    </row>
    <row r="9" customFormat="false" ht="79.85" hidden="false" customHeight="false" outlineLevel="0" collapsed="false">
      <c r="A9" s="2" t="s">
        <v>159</v>
      </c>
      <c r="B9" s="2" t="s">
        <v>160</v>
      </c>
      <c r="C9" s="3" t="s">
        <v>35</v>
      </c>
      <c r="D9" s="3" t="s">
        <v>36</v>
      </c>
      <c r="E9" s="2" t="s">
        <v>137</v>
      </c>
      <c r="F9" s="3" t="s">
        <v>121</v>
      </c>
      <c r="G9" s="2" t="s">
        <v>122</v>
      </c>
      <c r="H9" s="2" t="s">
        <v>161</v>
      </c>
      <c r="I9" s="2" t="s">
        <v>162</v>
      </c>
      <c r="J9" s="2" t="s">
        <v>163</v>
      </c>
      <c r="K9" s="3" t="s">
        <v>126</v>
      </c>
      <c r="L9" s="2" t="s">
        <v>164</v>
      </c>
      <c r="M9" s="3" t="s">
        <v>165</v>
      </c>
      <c r="N9" s="2" t="s">
        <v>74</v>
      </c>
      <c r="O9" s="4" t="n">
        <v>5</v>
      </c>
      <c r="P9" s="2" t="s">
        <v>166</v>
      </c>
      <c r="Q9" s="2" t="s">
        <v>48</v>
      </c>
      <c r="R9" s="3" t="s">
        <v>49</v>
      </c>
      <c r="S9" s="3" t="s">
        <v>130</v>
      </c>
      <c r="T9" s="2"/>
      <c r="U9" s="2" t="s">
        <v>52</v>
      </c>
      <c r="V9" s="2" t="s">
        <v>167</v>
      </c>
      <c r="W9" s="2" t="s">
        <v>48</v>
      </c>
      <c r="X9" s="2" t="s">
        <v>168</v>
      </c>
      <c r="Y9" s="3" t="s">
        <v>79</v>
      </c>
      <c r="Z9" s="3" t="s">
        <v>57</v>
      </c>
      <c r="AA9" s="2" t="s">
        <v>169</v>
      </c>
      <c r="AB9" s="2"/>
      <c r="AC9" s="3" t="s">
        <v>60</v>
      </c>
      <c r="AD9" s="3" t="s">
        <v>170</v>
      </c>
      <c r="AE9" s="3" t="s">
        <v>148</v>
      </c>
      <c r="AF9" s="3" t="s">
        <v>63</v>
      </c>
      <c r="AG9" s="2" t="s">
        <v>171</v>
      </c>
    </row>
    <row r="10" customFormat="false" ht="79.85" hidden="false" customHeight="false" outlineLevel="0" collapsed="false">
      <c r="A10" s="2" t="s">
        <v>172</v>
      </c>
      <c r="B10" s="2" t="s">
        <v>160</v>
      </c>
      <c r="C10" s="3" t="s">
        <v>35</v>
      </c>
      <c r="D10" s="3" t="s">
        <v>36</v>
      </c>
      <c r="E10" s="2" t="s">
        <v>173</v>
      </c>
      <c r="F10" s="3" t="s">
        <v>174</v>
      </c>
      <c r="G10" s="2" t="s">
        <v>175</v>
      </c>
      <c r="H10" s="2" t="s">
        <v>161</v>
      </c>
      <c r="I10" s="2" t="s">
        <v>176</v>
      </c>
      <c r="J10" s="2" t="s">
        <v>177</v>
      </c>
      <c r="K10" s="3" t="s">
        <v>126</v>
      </c>
      <c r="L10" s="2" t="s">
        <v>178</v>
      </c>
      <c r="M10" s="3" t="s">
        <v>179</v>
      </c>
      <c r="N10" s="2" t="s">
        <v>142</v>
      </c>
      <c r="O10" s="4"/>
      <c r="P10" s="2" t="s">
        <v>180</v>
      </c>
      <c r="Q10" s="2" t="s">
        <v>48</v>
      </c>
      <c r="R10" s="3" t="s">
        <v>49</v>
      </c>
      <c r="S10" s="3" t="s">
        <v>130</v>
      </c>
      <c r="T10" s="2"/>
      <c r="U10" s="2" t="s">
        <v>181</v>
      </c>
      <c r="V10" s="2" t="s">
        <v>182</v>
      </c>
      <c r="W10" s="2" t="s">
        <v>181</v>
      </c>
      <c r="X10" s="2" t="s">
        <v>183</v>
      </c>
      <c r="Y10" s="3" t="s">
        <v>95</v>
      </c>
      <c r="Z10" s="3" t="s">
        <v>57</v>
      </c>
      <c r="AA10" s="2" t="s">
        <v>184</v>
      </c>
      <c r="AB10" s="2"/>
      <c r="AC10" s="3" t="s">
        <v>60</v>
      </c>
      <c r="AD10" s="3" t="s">
        <v>185</v>
      </c>
      <c r="AE10" s="3" t="s">
        <v>62</v>
      </c>
      <c r="AF10" s="3" t="s">
        <v>63</v>
      </c>
      <c r="AG10" s="2" t="s">
        <v>186</v>
      </c>
    </row>
    <row r="11" customFormat="false" ht="46.25" hidden="false" customHeight="false" outlineLevel="0" collapsed="false">
      <c r="A11" s="2" t="s">
        <v>187</v>
      </c>
      <c r="B11" s="2" t="s">
        <v>160</v>
      </c>
      <c r="C11" s="3" t="s">
        <v>35</v>
      </c>
      <c r="D11" s="3" t="s">
        <v>36</v>
      </c>
      <c r="E11" s="2" t="s">
        <v>188</v>
      </c>
      <c r="F11" s="3" t="s">
        <v>121</v>
      </c>
      <c r="G11" s="2" t="s">
        <v>175</v>
      </c>
      <c r="H11" s="2" t="s">
        <v>161</v>
      </c>
      <c r="I11" s="2" t="s">
        <v>189</v>
      </c>
      <c r="J11" s="2" t="s">
        <v>190</v>
      </c>
      <c r="K11" s="3" t="s">
        <v>126</v>
      </c>
      <c r="L11" s="2" t="s">
        <v>191</v>
      </c>
      <c r="M11" s="3" t="s">
        <v>192</v>
      </c>
      <c r="N11" s="2" t="s">
        <v>74</v>
      </c>
      <c r="O11" s="4"/>
      <c r="P11" s="2" t="s">
        <v>193</v>
      </c>
      <c r="Q11" s="2" t="s">
        <v>48</v>
      </c>
      <c r="R11" s="3" t="s">
        <v>49</v>
      </c>
      <c r="S11" s="3" t="s">
        <v>130</v>
      </c>
      <c r="T11" s="2"/>
      <c r="U11" s="2" t="s">
        <v>52</v>
      </c>
      <c r="V11" s="2" t="s">
        <v>53</v>
      </c>
      <c r="W11" s="2" t="s">
        <v>48</v>
      </c>
      <c r="X11" s="2" t="s">
        <v>194</v>
      </c>
      <c r="Y11" s="3" t="s">
        <v>79</v>
      </c>
      <c r="Z11" s="3" t="s">
        <v>57</v>
      </c>
      <c r="AA11" s="2" t="s">
        <v>195</v>
      </c>
      <c r="AB11" s="2"/>
      <c r="AC11" s="3" t="s">
        <v>60</v>
      </c>
      <c r="AD11" s="3" t="s">
        <v>196</v>
      </c>
      <c r="AE11" s="3" t="s">
        <v>148</v>
      </c>
      <c r="AF11" s="3" t="s">
        <v>63</v>
      </c>
      <c r="AG11" s="2" t="s">
        <v>197</v>
      </c>
    </row>
    <row r="12" customFormat="false" ht="79.85" hidden="false" customHeight="false" outlineLevel="0" collapsed="false">
      <c r="A12" s="2" t="s">
        <v>198</v>
      </c>
      <c r="B12" s="2" t="s">
        <v>199</v>
      </c>
      <c r="C12" s="3" t="s">
        <v>35</v>
      </c>
      <c r="D12" s="3" t="s">
        <v>36</v>
      </c>
      <c r="E12" s="2" t="s">
        <v>200</v>
      </c>
      <c r="F12" s="3" t="s">
        <v>201</v>
      </c>
      <c r="G12" s="2" t="s">
        <v>202</v>
      </c>
      <c r="H12" s="2" t="s">
        <v>86</v>
      </c>
      <c r="I12" s="2" t="s">
        <v>203</v>
      </c>
      <c r="J12" s="2" t="s">
        <v>204</v>
      </c>
      <c r="K12" s="3" t="s">
        <v>126</v>
      </c>
      <c r="L12" s="2" t="s">
        <v>205</v>
      </c>
      <c r="M12" s="3" t="s">
        <v>206</v>
      </c>
      <c r="N12" s="2" t="s">
        <v>46</v>
      </c>
      <c r="O12" s="4"/>
      <c r="P12" s="2" t="s">
        <v>207</v>
      </c>
      <c r="Q12" s="2" t="s">
        <v>48</v>
      </c>
      <c r="R12" s="3" t="s">
        <v>49</v>
      </c>
      <c r="S12" s="3" t="s">
        <v>50</v>
      </c>
      <c r="T12" s="2" t="s">
        <v>208</v>
      </c>
      <c r="U12" s="2" t="s">
        <v>52</v>
      </c>
      <c r="V12" s="2" t="s">
        <v>209</v>
      </c>
      <c r="W12" s="2" t="s">
        <v>181</v>
      </c>
      <c r="X12" s="2" t="s">
        <v>210</v>
      </c>
      <c r="Y12" s="3" t="s">
        <v>95</v>
      </c>
      <c r="Z12" s="3" t="s">
        <v>57</v>
      </c>
      <c r="AA12" s="2" t="s">
        <v>211</v>
      </c>
      <c r="AB12" s="2"/>
      <c r="AC12" s="3" t="s">
        <v>60</v>
      </c>
      <c r="AD12" s="3" t="s">
        <v>212</v>
      </c>
      <c r="AE12" s="3" t="s">
        <v>62</v>
      </c>
      <c r="AF12" s="3" t="s">
        <v>63</v>
      </c>
      <c r="AG12" s="2"/>
    </row>
    <row r="13" customFormat="false" ht="57.45" hidden="false" customHeight="false" outlineLevel="0" collapsed="false">
      <c r="A13" s="2" t="s">
        <v>213</v>
      </c>
      <c r="B13" s="2" t="s">
        <v>199</v>
      </c>
      <c r="C13" s="3" t="s">
        <v>35</v>
      </c>
      <c r="D13" s="3" t="s">
        <v>36</v>
      </c>
      <c r="E13" s="2" t="s">
        <v>151</v>
      </c>
      <c r="F13" s="3" t="s">
        <v>104</v>
      </c>
      <c r="G13" s="2" t="s">
        <v>214</v>
      </c>
      <c r="H13" s="2" t="s">
        <v>86</v>
      </c>
      <c r="I13" s="2" t="s">
        <v>215</v>
      </c>
      <c r="J13" s="2"/>
      <c r="K13" s="3" t="s">
        <v>216</v>
      </c>
      <c r="L13" s="2" t="s">
        <v>217</v>
      </c>
      <c r="M13" s="3" t="s">
        <v>218</v>
      </c>
      <c r="N13" s="2" t="s">
        <v>142</v>
      </c>
      <c r="O13" s="4"/>
      <c r="P13" s="2" t="s">
        <v>219</v>
      </c>
      <c r="Q13" s="2" t="s">
        <v>48</v>
      </c>
      <c r="R13" s="3" t="s">
        <v>49</v>
      </c>
      <c r="S13" s="3" t="s">
        <v>50</v>
      </c>
      <c r="T13" s="2" t="s">
        <v>220</v>
      </c>
      <c r="U13" s="2" t="s">
        <v>52</v>
      </c>
      <c r="V13" s="2" t="s">
        <v>221</v>
      </c>
      <c r="W13" s="2" t="s">
        <v>54</v>
      </c>
      <c r="X13" s="2" t="s">
        <v>222</v>
      </c>
      <c r="Y13" s="3" t="s">
        <v>79</v>
      </c>
      <c r="Z13" s="3" t="s">
        <v>223</v>
      </c>
      <c r="AA13" s="2" t="s">
        <v>224</v>
      </c>
      <c r="AB13" s="2"/>
      <c r="AC13" s="3" t="s">
        <v>60</v>
      </c>
      <c r="AD13" s="3" t="s">
        <v>225</v>
      </c>
      <c r="AE13" s="3" t="s">
        <v>148</v>
      </c>
      <c r="AF13" s="3" t="s">
        <v>63</v>
      </c>
      <c r="AG13" s="2"/>
    </row>
    <row r="14" customFormat="false" ht="91" hidden="false" customHeight="false" outlineLevel="0" collapsed="false">
      <c r="A14" s="2" t="s">
        <v>226</v>
      </c>
      <c r="B14" s="2" t="s">
        <v>199</v>
      </c>
      <c r="C14" s="3" t="s">
        <v>35</v>
      </c>
      <c r="D14" s="3" t="s">
        <v>36</v>
      </c>
      <c r="E14" s="2" t="s">
        <v>227</v>
      </c>
      <c r="F14" s="3" t="s">
        <v>104</v>
      </c>
      <c r="G14" s="2" t="s">
        <v>214</v>
      </c>
      <c r="H14" s="2" t="s">
        <v>228</v>
      </c>
      <c r="I14" s="2" t="s">
        <v>229</v>
      </c>
      <c r="J14" s="2"/>
      <c r="K14" s="3" t="s">
        <v>216</v>
      </c>
      <c r="L14" s="2" t="s">
        <v>230</v>
      </c>
      <c r="M14" s="3" t="s">
        <v>231</v>
      </c>
      <c r="N14" s="2" t="s">
        <v>142</v>
      </c>
      <c r="O14" s="4"/>
      <c r="P14" s="2" t="s">
        <v>232</v>
      </c>
      <c r="Q14" s="2" t="s">
        <v>48</v>
      </c>
      <c r="R14" s="3" t="s">
        <v>49</v>
      </c>
      <c r="S14" s="3" t="s">
        <v>130</v>
      </c>
      <c r="T14" s="2" t="s">
        <v>233</v>
      </c>
      <c r="U14" s="2" t="s">
        <v>52</v>
      </c>
      <c r="V14" s="2" t="s">
        <v>234</v>
      </c>
      <c r="W14" s="2" t="s">
        <v>54</v>
      </c>
      <c r="X14" s="2" t="s">
        <v>235</v>
      </c>
      <c r="Y14" s="3" t="s">
        <v>79</v>
      </c>
      <c r="Z14" s="3" t="s">
        <v>57</v>
      </c>
      <c r="AA14" s="2" t="s">
        <v>236</v>
      </c>
      <c r="AB14" s="2"/>
      <c r="AC14" s="3" t="s">
        <v>60</v>
      </c>
      <c r="AD14" s="3" t="s">
        <v>237</v>
      </c>
      <c r="AE14" s="3" t="s">
        <v>148</v>
      </c>
      <c r="AF14" s="3" t="s">
        <v>63</v>
      </c>
      <c r="AG14" s="2"/>
    </row>
    <row r="15" customFormat="false" ht="57.45" hidden="false" customHeight="false" outlineLevel="0" collapsed="false">
      <c r="A15" s="2" t="s">
        <v>238</v>
      </c>
      <c r="B15" s="2" t="s">
        <v>199</v>
      </c>
      <c r="C15" s="3" t="s">
        <v>35</v>
      </c>
      <c r="D15" s="3" t="s">
        <v>36</v>
      </c>
      <c r="E15" s="2" t="s">
        <v>37</v>
      </c>
      <c r="F15" s="3" t="s">
        <v>104</v>
      </c>
      <c r="G15" s="2" t="s">
        <v>239</v>
      </c>
      <c r="H15" s="2" t="s">
        <v>228</v>
      </c>
      <c r="I15" s="2" t="s">
        <v>240</v>
      </c>
      <c r="J15" s="2" t="s">
        <v>241</v>
      </c>
      <c r="K15" s="3" t="s">
        <v>242</v>
      </c>
      <c r="L15" s="2" t="s">
        <v>243</v>
      </c>
      <c r="M15" s="3" t="s">
        <v>244</v>
      </c>
      <c r="N15" s="2" t="s">
        <v>142</v>
      </c>
      <c r="O15" s="4"/>
      <c r="P15" s="2"/>
      <c r="Q15" s="2" t="s">
        <v>48</v>
      </c>
      <c r="R15" s="3" t="s">
        <v>49</v>
      </c>
      <c r="S15" s="3" t="s">
        <v>130</v>
      </c>
      <c r="T15" s="2"/>
      <c r="U15" s="2" t="s">
        <v>52</v>
      </c>
      <c r="V15" s="2" t="s">
        <v>245</v>
      </c>
      <c r="W15" s="2" t="s">
        <v>54</v>
      </c>
      <c r="X15" s="2" t="s">
        <v>246</v>
      </c>
      <c r="Y15" s="3" t="s">
        <v>56</v>
      </c>
      <c r="Z15" s="3" t="s">
        <v>57</v>
      </c>
      <c r="AA15" s="2" t="s">
        <v>247</v>
      </c>
      <c r="AB15" s="2"/>
      <c r="AC15" s="3" t="s">
        <v>60</v>
      </c>
      <c r="AD15" s="3" t="s">
        <v>248</v>
      </c>
      <c r="AE15" s="3" t="s">
        <v>62</v>
      </c>
      <c r="AF15" s="3" t="s">
        <v>63</v>
      </c>
      <c r="AG15" s="2"/>
    </row>
    <row r="16" customFormat="false" ht="46.25" hidden="false" customHeight="false" outlineLevel="0" collapsed="false">
      <c r="A16" s="2" t="s">
        <v>249</v>
      </c>
      <c r="B16" s="2" t="s">
        <v>199</v>
      </c>
      <c r="C16" s="3" t="s">
        <v>35</v>
      </c>
      <c r="D16" s="3" t="s">
        <v>36</v>
      </c>
      <c r="E16" s="2" t="s">
        <v>37</v>
      </c>
      <c r="F16" s="3" t="s">
        <v>104</v>
      </c>
      <c r="G16" s="2" t="s">
        <v>214</v>
      </c>
      <c r="H16" s="2" t="s">
        <v>86</v>
      </c>
      <c r="I16" s="2" t="s">
        <v>250</v>
      </c>
      <c r="J16" s="2"/>
      <c r="K16" s="3" t="s">
        <v>71</v>
      </c>
      <c r="L16" s="2" t="s">
        <v>251</v>
      </c>
      <c r="M16" s="3" t="s">
        <v>252</v>
      </c>
      <c r="N16" s="2" t="s">
        <v>142</v>
      </c>
      <c r="O16" s="4"/>
      <c r="P16" s="2"/>
      <c r="Q16" s="2" t="s">
        <v>48</v>
      </c>
      <c r="R16" s="3" t="s">
        <v>49</v>
      </c>
      <c r="S16" s="3" t="s">
        <v>130</v>
      </c>
      <c r="T16" s="2"/>
      <c r="U16" s="2" t="s">
        <v>52</v>
      </c>
      <c r="V16" s="2" t="s">
        <v>253</v>
      </c>
      <c r="W16" s="2" t="s">
        <v>48</v>
      </c>
      <c r="X16" s="2" t="s">
        <v>254</v>
      </c>
      <c r="Y16" s="3" t="s">
        <v>95</v>
      </c>
      <c r="Z16" s="3" t="s">
        <v>57</v>
      </c>
      <c r="AA16" s="2" t="s">
        <v>255</v>
      </c>
      <c r="AB16" s="2"/>
      <c r="AC16" s="3" t="s">
        <v>60</v>
      </c>
      <c r="AD16" s="3" t="s">
        <v>256</v>
      </c>
      <c r="AE16" s="3" t="s">
        <v>148</v>
      </c>
      <c r="AF16" s="3" t="s">
        <v>63</v>
      </c>
      <c r="AG16" s="2"/>
    </row>
    <row r="17" customFormat="false" ht="57.45" hidden="false" customHeight="false" outlineLevel="0" collapsed="false">
      <c r="A17" s="2" t="s">
        <v>257</v>
      </c>
      <c r="B17" s="2" t="s">
        <v>199</v>
      </c>
      <c r="C17" s="3" t="s">
        <v>35</v>
      </c>
      <c r="D17" s="3" t="s">
        <v>36</v>
      </c>
      <c r="E17" s="2" t="s">
        <v>258</v>
      </c>
      <c r="F17" s="3" t="s">
        <v>104</v>
      </c>
      <c r="G17" s="2" t="s">
        <v>105</v>
      </c>
      <c r="H17" s="2" t="s">
        <v>259</v>
      </c>
      <c r="I17" s="2" t="s">
        <v>260</v>
      </c>
      <c r="J17" s="2"/>
      <c r="K17" s="3" t="s">
        <v>108</v>
      </c>
      <c r="L17" s="2" t="s">
        <v>261</v>
      </c>
      <c r="M17" s="3" t="s">
        <v>231</v>
      </c>
      <c r="N17" s="2" t="s">
        <v>142</v>
      </c>
      <c r="O17" s="4" t="n">
        <v>1</v>
      </c>
      <c r="P17" s="2" t="s">
        <v>262</v>
      </c>
      <c r="Q17" s="2" t="s">
        <v>48</v>
      </c>
      <c r="R17" s="3" t="s">
        <v>49</v>
      </c>
      <c r="S17" s="3" t="s">
        <v>130</v>
      </c>
      <c r="T17" s="2"/>
      <c r="U17" s="2" t="s">
        <v>263</v>
      </c>
      <c r="V17" s="2" t="s">
        <v>264</v>
      </c>
      <c r="W17" s="2" t="s">
        <v>48</v>
      </c>
      <c r="X17" s="2" t="s">
        <v>265</v>
      </c>
      <c r="Y17" s="3" t="s">
        <v>79</v>
      </c>
      <c r="Z17" s="3" t="s">
        <v>223</v>
      </c>
      <c r="AA17" s="2" t="s">
        <v>266</v>
      </c>
      <c r="AB17" s="2"/>
      <c r="AC17" s="3" t="s">
        <v>60</v>
      </c>
      <c r="AD17" s="3" t="s">
        <v>267</v>
      </c>
      <c r="AE17" s="3" t="s">
        <v>148</v>
      </c>
      <c r="AF17" s="3" t="s">
        <v>63</v>
      </c>
      <c r="AG17" s="2"/>
    </row>
    <row r="18" customFormat="false" ht="46.25" hidden="false" customHeight="false" outlineLevel="0" collapsed="false">
      <c r="A18" s="2" t="s">
        <v>268</v>
      </c>
      <c r="B18" s="2" t="s">
        <v>199</v>
      </c>
      <c r="C18" s="3" t="s">
        <v>35</v>
      </c>
      <c r="D18" s="3" t="s">
        <v>36</v>
      </c>
      <c r="E18" s="2" t="s">
        <v>103</v>
      </c>
      <c r="F18" s="3" t="s">
        <v>104</v>
      </c>
      <c r="G18" s="2" t="s">
        <v>214</v>
      </c>
      <c r="H18" s="2" t="s">
        <v>259</v>
      </c>
      <c r="I18" s="2" t="s">
        <v>269</v>
      </c>
      <c r="J18" s="2"/>
      <c r="K18" s="3" t="s">
        <v>108</v>
      </c>
      <c r="L18" s="2" t="s">
        <v>270</v>
      </c>
      <c r="M18" s="3" t="s">
        <v>231</v>
      </c>
      <c r="N18" s="2" t="s">
        <v>142</v>
      </c>
      <c r="O18" s="4" t="n">
        <v>10</v>
      </c>
      <c r="P18" s="2" t="s">
        <v>271</v>
      </c>
      <c r="Q18" s="2" t="s">
        <v>48</v>
      </c>
      <c r="R18" s="3" t="s">
        <v>49</v>
      </c>
      <c r="S18" s="3" t="s">
        <v>130</v>
      </c>
      <c r="T18" s="2"/>
      <c r="U18" s="2" t="s">
        <v>52</v>
      </c>
      <c r="V18" s="2" t="s">
        <v>272</v>
      </c>
      <c r="W18" s="2" t="s">
        <v>48</v>
      </c>
      <c r="X18" s="2" t="s">
        <v>273</v>
      </c>
      <c r="Y18" s="3" t="s">
        <v>79</v>
      </c>
      <c r="Z18" s="3" t="s">
        <v>274</v>
      </c>
      <c r="AA18" s="2" t="s">
        <v>275</v>
      </c>
      <c r="AB18" s="2"/>
      <c r="AC18" s="3" t="s">
        <v>60</v>
      </c>
      <c r="AD18" s="3" t="s">
        <v>276</v>
      </c>
      <c r="AE18" s="3" t="s">
        <v>148</v>
      </c>
      <c r="AF18" s="3" t="s">
        <v>63</v>
      </c>
      <c r="AG18" s="2"/>
    </row>
    <row r="19" customFormat="false" ht="57.45" hidden="false" customHeight="false" outlineLevel="0" collapsed="false">
      <c r="A19" s="2" t="s">
        <v>277</v>
      </c>
      <c r="B19" s="2" t="s">
        <v>199</v>
      </c>
      <c r="C19" s="3" t="s">
        <v>35</v>
      </c>
      <c r="D19" s="3" t="s">
        <v>36</v>
      </c>
      <c r="E19" s="2" t="s">
        <v>37</v>
      </c>
      <c r="F19" s="3" t="s">
        <v>104</v>
      </c>
      <c r="G19" s="2" t="s">
        <v>214</v>
      </c>
      <c r="H19" s="2" t="s">
        <v>259</v>
      </c>
      <c r="I19" s="2" t="s">
        <v>278</v>
      </c>
      <c r="J19" s="2"/>
      <c r="K19" s="3" t="s">
        <v>108</v>
      </c>
      <c r="L19" s="2" t="s">
        <v>279</v>
      </c>
      <c r="M19" s="3" t="s">
        <v>231</v>
      </c>
      <c r="N19" s="2" t="s">
        <v>142</v>
      </c>
      <c r="O19" s="4"/>
      <c r="P19" s="2" t="s">
        <v>280</v>
      </c>
      <c r="Q19" s="2" t="s">
        <v>48</v>
      </c>
      <c r="R19" s="3" t="s">
        <v>49</v>
      </c>
      <c r="S19" s="3" t="s">
        <v>130</v>
      </c>
      <c r="T19" s="2"/>
      <c r="U19" s="2" t="s">
        <v>52</v>
      </c>
      <c r="V19" s="2" t="s">
        <v>281</v>
      </c>
      <c r="W19" s="2" t="s">
        <v>48</v>
      </c>
      <c r="X19" s="2" t="s">
        <v>282</v>
      </c>
      <c r="Y19" s="3" t="s">
        <v>79</v>
      </c>
      <c r="Z19" s="3" t="s">
        <v>274</v>
      </c>
      <c r="AA19" s="2" t="s">
        <v>283</v>
      </c>
      <c r="AB19" s="2" t="s">
        <v>284</v>
      </c>
      <c r="AC19" s="3" t="s">
        <v>60</v>
      </c>
      <c r="AD19" s="3" t="s">
        <v>285</v>
      </c>
      <c r="AE19" s="3" t="s">
        <v>148</v>
      </c>
      <c r="AF19" s="3" t="s">
        <v>63</v>
      </c>
      <c r="AG19" s="2"/>
    </row>
    <row r="20" customFormat="false" ht="35.05" hidden="false" customHeight="false" outlineLevel="0" collapsed="false">
      <c r="A20" s="2" t="s">
        <v>286</v>
      </c>
      <c r="B20" s="2" t="s">
        <v>199</v>
      </c>
      <c r="C20" s="3" t="s">
        <v>35</v>
      </c>
      <c r="D20" s="3" t="s">
        <v>36</v>
      </c>
      <c r="E20" s="2" t="s">
        <v>37</v>
      </c>
      <c r="F20" s="3" t="s">
        <v>104</v>
      </c>
      <c r="G20" s="2" t="s">
        <v>214</v>
      </c>
      <c r="H20" s="2" t="s">
        <v>228</v>
      </c>
      <c r="I20" s="2" t="s">
        <v>287</v>
      </c>
      <c r="J20" s="2"/>
      <c r="K20" s="3" t="s">
        <v>108</v>
      </c>
      <c r="L20" s="2" t="s">
        <v>288</v>
      </c>
      <c r="M20" s="3" t="s">
        <v>289</v>
      </c>
      <c r="N20" s="2" t="s">
        <v>142</v>
      </c>
      <c r="O20" s="4"/>
      <c r="P20" s="2"/>
      <c r="Q20" s="2" t="s">
        <v>48</v>
      </c>
      <c r="R20" s="3" t="s">
        <v>49</v>
      </c>
      <c r="S20" s="3" t="s">
        <v>130</v>
      </c>
      <c r="T20" s="2"/>
      <c r="U20" s="2" t="s">
        <v>52</v>
      </c>
      <c r="V20" s="2" t="s">
        <v>290</v>
      </c>
      <c r="W20" s="2" t="s">
        <v>48</v>
      </c>
      <c r="X20" s="2" t="s">
        <v>291</v>
      </c>
      <c r="Y20" s="3" t="s">
        <v>95</v>
      </c>
      <c r="Z20" s="3" t="s">
        <v>292</v>
      </c>
      <c r="AA20" s="2" t="s">
        <v>293</v>
      </c>
      <c r="AB20" s="2"/>
      <c r="AC20" s="3" t="s">
        <v>60</v>
      </c>
      <c r="AD20" s="3" t="s">
        <v>294</v>
      </c>
      <c r="AE20" s="3" t="s">
        <v>148</v>
      </c>
      <c r="AF20" s="3" t="s">
        <v>63</v>
      </c>
      <c r="AG20" s="2"/>
    </row>
    <row r="21" customFormat="false" ht="46.25" hidden="false" customHeight="false" outlineLevel="0" collapsed="false">
      <c r="A21" s="2" t="s">
        <v>295</v>
      </c>
      <c r="B21" s="2" t="s">
        <v>199</v>
      </c>
      <c r="C21" s="3" t="s">
        <v>35</v>
      </c>
      <c r="D21" s="3" t="s">
        <v>36</v>
      </c>
      <c r="E21" s="2" t="s">
        <v>296</v>
      </c>
      <c r="F21" s="3" t="s">
        <v>174</v>
      </c>
      <c r="G21" s="2" t="s">
        <v>297</v>
      </c>
      <c r="H21" s="2" t="s">
        <v>228</v>
      </c>
      <c r="I21" s="2" t="s">
        <v>298</v>
      </c>
      <c r="J21" s="2"/>
      <c r="K21" s="3" t="s">
        <v>126</v>
      </c>
      <c r="L21" s="2" t="s">
        <v>299</v>
      </c>
      <c r="M21" s="3" t="s">
        <v>300</v>
      </c>
      <c r="N21" s="2" t="s">
        <v>74</v>
      </c>
      <c r="O21" s="4"/>
      <c r="P21" s="2" t="s">
        <v>301</v>
      </c>
      <c r="Q21" s="2" t="s">
        <v>48</v>
      </c>
      <c r="R21" s="3" t="s">
        <v>49</v>
      </c>
      <c r="S21" s="3" t="s">
        <v>130</v>
      </c>
      <c r="T21" s="2"/>
      <c r="U21" s="2" t="s">
        <v>52</v>
      </c>
      <c r="V21" s="2" t="s">
        <v>302</v>
      </c>
      <c r="W21" s="2" t="s">
        <v>54</v>
      </c>
      <c r="X21" s="2" t="s">
        <v>303</v>
      </c>
      <c r="Y21" s="3" t="s">
        <v>79</v>
      </c>
      <c r="Z21" s="3" t="s">
        <v>57</v>
      </c>
      <c r="AA21" s="2" t="s">
        <v>304</v>
      </c>
      <c r="AB21" s="2"/>
      <c r="AC21" s="3" t="s">
        <v>60</v>
      </c>
      <c r="AD21" s="3" t="s">
        <v>305</v>
      </c>
      <c r="AE21" s="3" t="s">
        <v>148</v>
      </c>
      <c r="AF21" s="3" t="s">
        <v>63</v>
      </c>
      <c r="AG21" s="2"/>
    </row>
    <row r="22" customFormat="false" ht="91" hidden="false" customHeight="false" outlineLevel="0" collapsed="false">
      <c r="A22" s="2" t="s">
        <v>306</v>
      </c>
      <c r="B22" s="2" t="s">
        <v>199</v>
      </c>
      <c r="C22" s="3" t="s">
        <v>35</v>
      </c>
      <c r="D22" s="3" t="s">
        <v>36</v>
      </c>
      <c r="E22" s="2" t="s">
        <v>307</v>
      </c>
      <c r="F22" s="3" t="s">
        <v>308</v>
      </c>
      <c r="G22" s="2" t="s">
        <v>309</v>
      </c>
      <c r="H22" s="2" t="s">
        <v>86</v>
      </c>
      <c r="I22" s="2" t="s">
        <v>310</v>
      </c>
      <c r="J22" s="2" t="s">
        <v>311</v>
      </c>
      <c r="K22" s="3" t="s">
        <v>126</v>
      </c>
      <c r="L22" s="2" t="s">
        <v>312</v>
      </c>
      <c r="M22" s="3" t="s">
        <v>313</v>
      </c>
      <c r="N22" s="2" t="s">
        <v>74</v>
      </c>
      <c r="O22" s="4"/>
      <c r="P22" s="2" t="s">
        <v>314</v>
      </c>
      <c r="Q22" s="2" t="s">
        <v>48</v>
      </c>
      <c r="R22" s="3" t="s">
        <v>49</v>
      </c>
      <c r="S22" s="3" t="s">
        <v>130</v>
      </c>
      <c r="T22" s="2" t="s">
        <v>315</v>
      </c>
      <c r="U22" s="2" t="s">
        <v>52</v>
      </c>
      <c r="V22" s="2" t="s">
        <v>316</v>
      </c>
      <c r="W22" s="2" t="s">
        <v>317</v>
      </c>
      <c r="X22" s="2" t="s">
        <v>318</v>
      </c>
      <c r="Y22" s="3" t="s">
        <v>79</v>
      </c>
      <c r="Z22" s="3" t="s">
        <v>57</v>
      </c>
      <c r="AA22" s="2" t="s">
        <v>319</v>
      </c>
      <c r="AB22" s="2"/>
      <c r="AC22" s="3" t="s">
        <v>60</v>
      </c>
      <c r="AD22" s="3" t="s">
        <v>320</v>
      </c>
      <c r="AE22" s="3" t="s">
        <v>148</v>
      </c>
      <c r="AF22" s="3" t="s">
        <v>63</v>
      </c>
      <c r="AG22" s="2"/>
    </row>
    <row r="23" customFormat="false" ht="91" hidden="false" customHeight="false" outlineLevel="0" collapsed="false">
      <c r="A23" s="2" t="s">
        <v>321</v>
      </c>
      <c r="B23" s="2" t="s">
        <v>199</v>
      </c>
      <c r="C23" s="3" t="s">
        <v>35</v>
      </c>
      <c r="D23" s="3" t="s">
        <v>36</v>
      </c>
      <c r="E23" s="2" t="s">
        <v>307</v>
      </c>
      <c r="F23" s="3" t="s">
        <v>201</v>
      </c>
      <c r="G23" s="2" t="s">
        <v>202</v>
      </c>
      <c r="H23" s="2" t="s">
        <v>86</v>
      </c>
      <c r="I23" s="2" t="s">
        <v>322</v>
      </c>
      <c r="J23" s="2"/>
      <c r="K23" s="3" t="s">
        <v>126</v>
      </c>
      <c r="L23" s="2" t="s">
        <v>323</v>
      </c>
      <c r="M23" s="3" t="s">
        <v>324</v>
      </c>
      <c r="N23" s="2" t="s">
        <v>74</v>
      </c>
      <c r="O23" s="4"/>
      <c r="P23" s="2" t="s">
        <v>325</v>
      </c>
      <c r="Q23" s="2" t="s">
        <v>48</v>
      </c>
      <c r="R23" s="3" t="s">
        <v>49</v>
      </c>
      <c r="S23" s="3" t="s">
        <v>130</v>
      </c>
      <c r="T23" s="2"/>
      <c r="U23" s="2" t="s">
        <v>52</v>
      </c>
      <c r="V23" s="2" t="s">
        <v>326</v>
      </c>
      <c r="W23" s="2" t="s">
        <v>54</v>
      </c>
      <c r="X23" s="2" t="s">
        <v>327</v>
      </c>
      <c r="Y23" s="3" t="s">
        <v>95</v>
      </c>
      <c r="Z23" s="3" t="s">
        <v>57</v>
      </c>
      <c r="AA23" s="2" t="s">
        <v>328</v>
      </c>
      <c r="AB23" s="2"/>
      <c r="AC23" s="3" t="s">
        <v>60</v>
      </c>
      <c r="AD23" s="3" t="s">
        <v>329</v>
      </c>
      <c r="AE23" s="3" t="s">
        <v>148</v>
      </c>
      <c r="AF23" s="3" t="s">
        <v>63</v>
      </c>
      <c r="AG23" s="2"/>
    </row>
    <row r="24" customFormat="false" ht="68.65" hidden="false" customHeight="false" outlineLevel="0" collapsed="false">
      <c r="A24" s="2" t="s">
        <v>330</v>
      </c>
      <c r="B24" s="2" t="s">
        <v>199</v>
      </c>
      <c r="C24" s="3" t="s">
        <v>35</v>
      </c>
      <c r="D24" s="3" t="s">
        <v>36</v>
      </c>
      <c r="E24" s="2" t="s">
        <v>307</v>
      </c>
      <c r="F24" s="3" t="s">
        <v>201</v>
      </c>
      <c r="G24" s="2" t="s">
        <v>202</v>
      </c>
      <c r="H24" s="2" t="s">
        <v>86</v>
      </c>
      <c r="I24" s="2" t="s">
        <v>331</v>
      </c>
      <c r="J24" s="2"/>
      <c r="K24" s="3" t="s">
        <v>126</v>
      </c>
      <c r="L24" s="2" t="s">
        <v>323</v>
      </c>
      <c r="M24" s="3" t="s">
        <v>324</v>
      </c>
      <c r="N24" s="2" t="s">
        <v>74</v>
      </c>
      <c r="O24" s="4"/>
      <c r="P24" s="2" t="s">
        <v>332</v>
      </c>
      <c r="Q24" s="2" t="s">
        <v>48</v>
      </c>
      <c r="R24" s="3" t="s">
        <v>49</v>
      </c>
      <c r="S24" s="3" t="s">
        <v>130</v>
      </c>
      <c r="T24" s="2"/>
      <c r="U24" s="2" t="s">
        <v>52</v>
      </c>
      <c r="V24" s="2" t="s">
        <v>333</v>
      </c>
      <c r="W24" s="2" t="s">
        <v>54</v>
      </c>
      <c r="X24" s="2" t="s">
        <v>334</v>
      </c>
      <c r="Y24" s="3" t="s">
        <v>95</v>
      </c>
      <c r="Z24" s="3" t="s">
        <v>57</v>
      </c>
      <c r="AA24" s="2" t="s">
        <v>335</v>
      </c>
      <c r="AB24" s="2"/>
      <c r="AC24" s="3" t="s">
        <v>60</v>
      </c>
      <c r="AD24" s="3" t="s">
        <v>336</v>
      </c>
      <c r="AE24" s="3" t="s">
        <v>148</v>
      </c>
      <c r="AF24" s="3" t="s">
        <v>63</v>
      </c>
      <c r="AG24" s="2"/>
    </row>
    <row r="25" customFormat="false" ht="57.45" hidden="false" customHeight="false" outlineLevel="0" collapsed="false">
      <c r="A25" s="2" t="s">
        <v>337</v>
      </c>
      <c r="B25" s="2" t="s">
        <v>199</v>
      </c>
      <c r="C25" s="3" t="s">
        <v>35</v>
      </c>
      <c r="D25" s="3" t="s">
        <v>36</v>
      </c>
      <c r="E25" s="2" t="s">
        <v>200</v>
      </c>
      <c r="F25" s="3" t="s">
        <v>201</v>
      </c>
      <c r="G25" s="2" t="s">
        <v>202</v>
      </c>
      <c r="H25" s="2" t="s">
        <v>338</v>
      </c>
      <c r="I25" s="2" t="s">
        <v>339</v>
      </c>
      <c r="J25" s="2"/>
      <c r="K25" s="3" t="s">
        <v>126</v>
      </c>
      <c r="L25" s="2" t="s">
        <v>323</v>
      </c>
      <c r="M25" s="3" t="s">
        <v>324</v>
      </c>
      <c r="N25" s="2" t="s">
        <v>74</v>
      </c>
      <c r="O25" s="4"/>
      <c r="P25" s="2" t="s">
        <v>340</v>
      </c>
      <c r="Q25" s="2" t="s">
        <v>48</v>
      </c>
      <c r="R25" s="3" t="s">
        <v>49</v>
      </c>
      <c r="S25" s="3" t="s">
        <v>130</v>
      </c>
      <c r="T25" s="2"/>
      <c r="U25" s="2" t="s">
        <v>52</v>
      </c>
      <c r="V25" s="2" t="s">
        <v>341</v>
      </c>
      <c r="W25" s="2" t="s">
        <v>54</v>
      </c>
      <c r="X25" s="2" t="s">
        <v>342</v>
      </c>
      <c r="Y25" s="3" t="s">
        <v>95</v>
      </c>
      <c r="Z25" s="3" t="s">
        <v>57</v>
      </c>
      <c r="AA25" s="2" t="s">
        <v>343</v>
      </c>
      <c r="AB25" s="2"/>
      <c r="AC25" s="3" t="s">
        <v>60</v>
      </c>
      <c r="AD25" s="3" t="s">
        <v>344</v>
      </c>
      <c r="AE25" s="3" t="s">
        <v>148</v>
      </c>
      <c r="AF25" s="3" t="s">
        <v>63</v>
      </c>
      <c r="AG25" s="2"/>
    </row>
    <row r="26" customFormat="false" ht="91" hidden="false" customHeight="false" outlineLevel="0" collapsed="false">
      <c r="A26" s="2" t="s">
        <v>345</v>
      </c>
      <c r="B26" s="2" t="s">
        <v>199</v>
      </c>
      <c r="C26" s="3" t="s">
        <v>35</v>
      </c>
      <c r="D26" s="3" t="s">
        <v>36</v>
      </c>
      <c r="E26" s="2" t="s">
        <v>200</v>
      </c>
      <c r="F26" s="3" t="s">
        <v>201</v>
      </c>
      <c r="G26" s="2" t="s">
        <v>202</v>
      </c>
      <c r="H26" s="2" t="s">
        <v>228</v>
      </c>
      <c r="I26" s="2" t="s">
        <v>346</v>
      </c>
      <c r="J26" s="2"/>
      <c r="K26" s="3" t="s">
        <v>126</v>
      </c>
      <c r="L26" s="2" t="s">
        <v>347</v>
      </c>
      <c r="M26" s="3" t="s">
        <v>324</v>
      </c>
      <c r="N26" s="2" t="s">
        <v>74</v>
      </c>
      <c r="O26" s="4"/>
      <c r="P26" s="2" t="s">
        <v>348</v>
      </c>
      <c r="Q26" s="2" t="s">
        <v>48</v>
      </c>
      <c r="R26" s="3" t="s">
        <v>49</v>
      </c>
      <c r="S26" s="3" t="s">
        <v>130</v>
      </c>
      <c r="T26" s="2"/>
      <c r="U26" s="2" t="s">
        <v>52</v>
      </c>
      <c r="V26" s="2" t="s">
        <v>349</v>
      </c>
      <c r="W26" s="2" t="s">
        <v>54</v>
      </c>
      <c r="X26" s="2" t="s">
        <v>350</v>
      </c>
      <c r="Y26" s="3" t="s">
        <v>95</v>
      </c>
      <c r="Z26" s="3" t="s">
        <v>57</v>
      </c>
      <c r="AA26" s="2" t="s">
        <v>351</v>
      </c>
      <c r="AB26" s="2"/>
      <c r="AC26" s="3" t="s">
        <v>60</v>
      </c>
      <c r="AD26" s="3" t="s">
        <v>352</v>
      </c>
      <c r="AE26" s="3" t="s">
        <v>148</v>
      </c>
      <c r="AF26" s="3" t="s">
        <v>63</v>
      </c>
      <c r="AG26" s="2"/>
    </row>
    <row r="27" customFormat="false" ht="68.65" hidden="false" customHeight="false" outlineLevel="0" collapsed="false">
      <c r="A27" s="2" t="s">
        <v>353</v>
      </c>
      <c r="B27" s="2" t="s">
        <v>199</v>
      </c>
      <c r="C27" s="3" t="s">
        <v>35</v>
      </c>
      <c r="D27" s="3" t="s">
        <v>36</v>
      </c>
      <c r="E27" s="2" t="s">
        <v>354</v>
      </c>
      <c r="F27" s="3" t="s">
        <v>201</v>
      </c>
      <c r="G27" s="2" t="s">
        <v>355</v>
      </c>
      <c r="H27" s="2" t="s">
        <v>86</v>
      </c>
      <c r="I27" s="2" t="s">
        <v>356</v>
      </c>
      <c r="J27" s="2"/>
      <c r="K27" s="3" t="s">
        <v>126</v>
      </c>
      <c r="L27" s="2" t="s">
        <v>357</v>
      </c>
      <c r="M27" s="3" t="s">
        <v>324</v>
      </c>
      <c r="N27" s="2" t="s">
        <v>74</v>
      </c>
      <c r="O27" s="4"/>
      <c r="P27" s="2" t="s">
        <v>358</v>
      </c>
      <c r="Q27" s="2" t="s">
        <v>48</v>
      </c>
      <c r="R27" s="3" t="s">
        <v>49</v>
      </c>
      <c r="S27" s="3" t="s">
        <v>130</v>
      </c>
      <c r="T27" s="2"/>
      <c r="U27" s="2" t="s">
        <v>52</v>
      </c>
      <c r="V27" s="2" t="s">
        <v>359</v>
      </c>
      <c r="W27" s="2" t="s">
        <v>54</v>
      </c>
      <c r="X27" s="2" t="s">
        <v>360</v>
      </c>
      <c r="Y27" s="3" t="s">
        <v>95</v>
      </c>
      <c r="Z27" s="3" t="s">
        <v>57</v>
      </c>
      <c r="AA27" s="2" t="s">
        <v>361</v>
      </c>
      <c r="AB27" s="2"/>
      <c r="AC27" s="3" t="s">
        <v>60</v>
      </c>
      <c r="AD27" s="3" t="s">
        <v>362</v>
      </c>
      <c r="AE27" s="3" t="s">
        <v>62</v>
      </c>
      <c r="AF27" s="3" t="s">
        <v>63</v>
      </c>
      <c r="AG27" s="2"/>
    </row>
    <row r="28" customFormat="false" ht="79.85" hidden="false" customHeight="false" outlineLevel="0" collapsed="false">
      <c r="A28" s="2" t="s">
        <v>363</v>
      </c>
      <c r="B28" s="2" t="s">
        <v>199</v>
      </c>
      <c r="C28" s="3" t="s">
        <v>35</v>
      </c>
      <c r="D28" s="3" t="s">
        <v>36</v>
      </c>
      <c r="E28" s="2" t="s">
        <v>364</v>
      </c>
      <c r="F28" s="3" t="s">
        <v>201</v>
      </c>
      <c r="G28" s="2" t="s">
        <v>365</v>
      </c>
      <c r="H28" s="2" t="s">
        <v>228</v>
      </c>
      <c r="I28" s="2" t="s">
        <v>366</v>
      </c>
      <c r="J28" s="2"/>
      <c r="K28" s="3" t="s">
        <v>126</v>
      </c>
      <c r="L28" s="2" t="s">
        <v>367</v>
      </c>
      <c r="M28" s="3" t="s">
        <v>368</v>
      </c>
      <c r="N28" s="2" t="s">
        <v>142</v>
      </c>
      <c r="O28" s="4" t="n">
        <v>4</v>
      </c>
      <c r="P28" s="2" t="s">
        <v>369</v>
      </c>
      <c r="Q28" s="2" t="s">
        <v>48</v>
      </c>
      <c r="R28" s="3" t="s">
        <v>49</v>
      </c>
      <c r="S28" s="3" t="s">
        <v>130</v>
      </c>
      <c r="T28" s="2"/>
      <c r="U28" s="2" t="s">
        <v>52</v>
      </c>
      <c r="V28" s="2" t="s">
        <v>370</v>
      </c>
      <c r="W28" s="2" t="s">
        <v>54</v>
      </c>
      <c r="X28" s="2" t="s">
        <v>371</v>
      </c>
      <c r="Y28" s="3" t="s">
        <v>95</v>
      </c>
      <c r="Z28" s="3" t="s">
        <v>372</v>
      </c>
      <c r="AA28" s="2" t="s">
        <v>373</v>
      </c>
      <c r="AB28" s="2"/>
      <c r="AC28" s="3" t="s">
        <v>60</v>
      </c>
      <c r="AD28" s="3" t="s">
        <v>374</v>
      </c>
      <c r="AE28" s="3" t="s">
        <v>148</v>
      </c>
      <c r="AF28" s="3" t="s">
        <v>63</v>
      </c>
      <c r="AG28" s="2"/>
    </row>
    <row r="29" customFormat="false" ht="57.45" hidden="false" customHeight="false" outlineLevel="0" collapsed="false">
      <c r="A29" s="2" t="s">
        <v>375</v>
      </c>
      <c r="B29" s="2" t="s">
        <v>199</v>
      </c>
      <c r="C29" s="3" t="s">
        <v>35</v>
      </c>
      <c r="D29" s="3" t="s">
        <v>36</v>
      </c>
      <c r="E29" s="2" t="s">
        <v>37</v>
      </c>
      <c r="F29" s="3" t="s">
        <v>38</v>
      </c>
      <c r="G29" s="2" t="s">
        <v>214</v>
      </c>
      <c r="H29" s="2" t="s">
        <v>228</v>
      </c>
      <c r="I29" s="2" t="s">
        <v>376</v>
      </c>
      <c r="J29" s="2" t="s">
        <v>377</v>
      </c>
      <c r="K29" s="3" t="s">
        <v>43</v>
      </c>
      <c r="L29" s="2" t="s">
        <v>378</v>
      </c>
      <c r="M29" s="3" t="s">
        <v>379</v>
      </c>
      <c r="N29" s="2" t="s">
        <v>142</v>
      </c>
      <c r="O29" s="4"/>
      <c r="P29" s="2"/>
      <c r="Q29" s="2" t="s">
        <v>48</v>
      </c>
      <c r="R29" s="3" t="s">
        <v>49</v>
      </c>
      <c r="S29" s="3" t="s">
        <v>130</v>
      </c>
      <c r="T29" s="2"/>
      <c r="U29" s="2" t="s">
        <v>52</v>
      </c>
      <c r="V29" s="2" t="s">
        <v>380</v>
      </c>
      <c r="W29" s="2" t="s">
        <v>48</v>
      </c>
      <c r="X29" s="2" t="s">
        <v>381</v>
      </c>
      <c r="Y29" s="3" t="s">
        <v>56</v>
      </c>
      <c r="Z29" s="3" t="s">
        <v>57</v>
      </c>
      <c r="AA29" s="2" t="s">
        <v>382</v>
      </c>
      <c r="AB29" s="2"/>
      <c r="AC29" s="3" t="s">
        <v>60</v>
      </c>
      <c r="AD29" s="3" t="s">
        <v>383</v>
      </c>
      <c r="AE29" s="3" t="s">
        <v>62</v>
      </c>
      <c r="AF29" s="3" t="s">
        <v>63</v>
      </c>
      <c r="AG29" s="2"/>
    </row>
    <row r="30" customFormat="false" ht="91" hidden="false" customHeight="false" outlineLevel="0" collapsed="false">
      <c r="A30" s="2" t="s">
        <v>384</v>
      </c>
      <c r="B30" s="2" t="s">
        <v>199</v>
      </c>
      <c r="C30" s="3" t="s">
        <v>35</v>
      </c>
      <c r="D30" s="3" t="s">
        <v>36</v>
      </c>
      <c r="E30" s="2" t="s">
        <v>103</v>
      </c>
      <c r="F30" s="3" t="s">
        <v>104</v>
      </c>
      <c r="G30" s="2" t="s">
        <v>214</v>
      </c>
      <c r="H30" s="2" t="s">
        <v>228</v>
      </c>
      <c r="I30" s="2" t="s">
        <v>385</v>
      </c>
      <c r="J30" s="2" t="s">
        <v>386</v>
      </c>
      <c r="K30" s="3" t="s">
        <v>216</v>
      </c>
      <c r="L30" s="2" t="s">
        <v>387</v>
      </c>
      <c r="M30" s="3" t="s">
        <v>206</v>
      </c>
      <c r="N30" s="2" t="s">
        <v>142</v>
      </c>
      <c r="O30" s="4" t="n">
        <v>10</v>
      </c>
      <c r="P30" s="2" t="s">
        <v>388</v>
      </c>
      <c r="Q30" s="2" t="s">
        <v>48</v>
      </c>
      <c r="R30" s="3" t="s">
        <v>49</v>
      </c>
      <c r="S30" s="3" t="s">
        <v>130</v>
      </c>
      <c r="T30" s="2"/>
      <c r="U30" s="2" t="s">
        <v>52</v>
      </c>
      <c r="V30" s="2" t="s">
        <v>389</v>
      </c>
      <c r="W30" s="2" t="s">
        <v>48</v>
      </c>
      <c r="X30" s="2" t="s">
        <v>390</v>
      </c>
      <c r="Y30" s="3" t="s">
        <v>95</v>
      </c>
      <c r="Z30" s="3" t="s">
        <v>391</v>
      </c>
      <c r="AA30" s="2" t="s">
        <v>392</v>
      </c>
      <c r="AB30" s="2" t="s">
        <v>393</v>
      </c>
      <c r="AC30" s="3" t="s">
        <v>60</v>
      </c>
      <c r="AD30" s="3" t="s">
        <v>394</v>
      </c>
      <c r="AE30" s="3" t="s">
        <v>148</v>
      </c>
      <c r="AF30" s="3" t="s">
        <v>63</v>
      </c>
      <c r="AG30" s="2"/>
    </row>
    <row r="31" customFormat="false" ht="68.65" hidden="false" customHeight="false" outlineLevel="0" collapsed="false">
      <c r="A31" s="2" t="s">
        <v>395</v>
      </c>
      <c r="B31" s="2" t="s">
        <v>199</v>
      </c>
      <c r="C31" s="3" t="s">
        <v>35</v>
      </c>
      <c r="D31" s="3" t="s">
        <v>36</v>
      </c>
      <c r="E31" s="2" t="s">
        <v>37</v>
      </c>
      <c r="F31" s="3" t="s">
        <v>38</v>
      </c>
      <c r="G31" s="2" t="s">
        <v>214</v>
      </c>
      <c r="H31" s="2" t="s">
        <v>228</v>
      </c>
      <c r="I31" s="2" t="s">
        <v>396</v>
      </c>
      <c r="J31" s="2" t="s">
        <v>397</v>
      </c>
      <c r="K31" s="3" t="s">
        <v>216</v>
      </c>
      <c r="L31" s="2" t="s">
        <v>398</v>
      </c>
      <c r="M31" s="3" t="s">
        <v>399</v>
      </c>
      <c r="N31" s="2" t="s">
        <v>142</v>
      </c>
      <c r="O31" s="4"/>
      <c r="P31" s="2"/>
      <c r="Q31" s="2" t="s">
        <v>48</v>
      </c>
      <c r="R31" s="3" t="s">
        <v>49</v>
      </c>
      <c r="S31" s="3" t="s">
        <v>130</v>
      </c>
      <c r="T31" s="2"/>
      <c r="U31" s="2" t="s">
        <v>52</v>
      </c>
      <c r="V31" s="2" t="s">
        <v>400</v>
      </c>
      <c r="W31" s="2" t="s">
        <v>48</v>
      </c>
      <c r="X31" s="2" t="s">
        <v>401</v>
      </c>
      <c r="Y31" s="3" t="s">
        <v>95</v>
      </c>
      <c r="Z31" s="3" t="s">
        <v>57</v>
      </c>
      <c r="AA31" s="2" t="s">
        <v>293</v>
      </c>
      <c r="AB31" s="2"/>
      <c r="AC31" s="3" t="s">
        <v>60</v>
      </c>
      <c r="AD31" s="3" t="s">
        <v>402</v>
      </c>
      <c r="AE31" s="3" t="s">
        <v>148</v>
      </c>
      <c r="AF31" s="3" t="s">
        <v>63</v>
      </c>
      <c r="AG31" s="2"/>
    </row>
    <row r="32" customFormat="false" ht="57.45" hidden="false" customHeight="false" outlineLevel="0" collapsed="false">
      <c r="A32" s="2" t="s">
        <v>403</v>
      </c>
      <c r="B32" s="2" t="s">
        <v>199</v>
      </c>
      <c r="C32" s="3" t="s">
        <v>35</v>
      </c>
      <c r="D32" s="3" t="s">
        <v>36</v>
      </c>
      <c r="E32" s="2" t="s">
        <v>37</v>
      </c>
      <c r="F32" s="3" t="s">
        <v>104</v>
      </c>
      <c r="G32" s="2" t="s">
        <v>214</v>
      </c>
      <c r="H32" s="2" t="s">
        <v>228</v>
      </c>
      <c r="I32" s="2" t="s">
        <v>404</v>
      </c>
      <c r="J32" s="2"/>
      <c r="K32" s="3" t="s">
        <v>216</v>
      </c>
      <c r="L32" s="2" t="s">
        <v>405</v>
      </c>
      <c r="M32" s="3" t="s">
        <v>406</v>
      </c>
      <c r="N32" s="2" t="s">
        <v>142</v>
      </c>
      <c r="O32" s="4"/>
      <c r="P32" s="2" t="s">
        <v>407</v>
      </c>
      <c r="Q32" s="2" t="s">
        <v>48</v>
      </c>
      <c r="R32" s="3" t="s">
        <v>49</v>
      </c>
      <c r="S32" s="3" t="s">
        <v>130</v>
      </c>
      <c r="T32" s="2"/>
      <c r="U32" s="2" t="s">
        <v>52</v>
      </c>
      <c r="V32" s="2" t="s">
        <v>408</v>
      </c>
      <c r="W32" s="2" t="s">
        <v>48</v>
      </c>
      <c r="X32" s="2" t="s">
        <v>409</v>
      </c>
      <c r="Y32" s="3" t="s">
        <v>95</v>
      </c>
      <c r="Z32" s="3" t="s">
        <v>410</v>
      </c>
      <c r="AA32" s="2" t="s">
        <v>411</v>
      </c>
      <c r="AB32" s="2" t="s">
        <v>412</v>
      </c>
      <c r="AC32" s="3" t="s">
        <v>60</v>
      </c>
      <c r="AD32" s="3" t="s">
        <v>413</v>
      </c>
      <c r="AE32" s="3" t="s">
        <v>148</v>
      </c>
      <c r="AF32" s="3" t="s">
        <v>63</v>
      </c>
      <c r="AG32" s="2"/>
    </row>
    <row r="33" customFormat="false" ht="46.25" hidden="false" customHeight="false" outlineLevel="0" collapsed="false">
      <c r="A33" s="2" t="s">
        <v>414</v>
      </c>
      <c r="B33" s="2" t="s">
        <v>199</v>
      </c>
      <c r="C33" s="3" t="s">
        <v>35</v>
      </c>
      <c r="D33" s="3" t="s">
        <v>36</v>
      </c>
      <c r="E33" s="2" t="s">
        <v>37</v>
      </c>
      <c r="F33" s="3" t="s">
        <v>415</v>
      </c>
      <c r="G33" s="2" t="s">
        <v>416</v>
      </c>
      <c r="H33" s="2" t="s">
        <v>228</v>
      </c>
      <c r="I33" s="2" t="s">
        <v>417</v>
      </c>
      <c r="J33" s="2" t="s">
        <v>418</v>
      </c>
      <c r="K33" s="3" t="s">
        <v>419</v>
      </c>
      <c r="L33" s="2" t="s">
        <v>420</v>
      </c>
      <c r="M33" s="3" t="s">
        <v>421</v>
      </c>
      <c r="N33" s="2" t="s">
        <v>142</v>
      </c>
      <c r="O33" s="4"/>
      <c r="P33" s="2"/>
      <c r="Q33" s="2" t="s">
        <v>48</v>
      </c>
      <c r="R33" s="3" t="s">
        <v>49</v>
      </c>
      <c r="S33" s="3" t="s">
        <v>130</v>
      </c>
      <c r="T33" s="2"/>
      <c r="U33" s="2" t="s">
        <v>52</v>
      </c>
      <c r="V33" s="2" t="s">
        <v>380</v>
      </c>
      <c r="W33" s="2" t="s">
        <v>48</v>
      </c>
      <c r="X33" s="2" t="s">
        <v>422</v>
      </c>
      <c r="Y33" s="3" t="s">
        <v>56</v>
      </c>
      <c r="Z33" s="3" t="s">
        <v>57</v>
      </c>
      <c r="AA33" s="2" t="s">
        <v>423</v>
      </c>
      <c r="AB33" s="2"/>
      <c r="AC33" s="3" t="s">
        <v>60</v>
      </c>
      <c r="AD33" s="3" t="s">
        <v>424</v>
      </c>
      <c r="AE33" s="3" t="s">
        <v>62</v>
      </c>
      <c r="AF33" s="3" t="s">
        <v>63</v>
      </c>
      <c r="AG33" s="2"/>
    </row>
    <row r="34" customFormat="false" ht="102.2" hidden="false" customHeight="false" outlineLevel="0" collapsed="false">
      <c r="A34" s="2" t="s">
        <v>425</v>
      </c>
      <c r="B34" s="2" t="s">
        <v>199</v>
      </c>
      <c r="C34" s="3" t="s">
        <v>35</v>
      </c>
      <c r="D34" s="3" t="s">
        <v>36</v>
      </c>
      <c r="E34" s="2" t="s">
        <v>37</v>
      </c>
      <c r="F34" s="3" t="s">
        <v>104</v>
      </c>
      <c r="G34" s="2" t="s">
        <v>426</v>
      </c>
      <c r="H34" s="2" t="s">
        <v>427</v>
      </c>
      <c r="I34" s="2" t="s">
        <v>428</v>
      </c>
      <c r="J34" s="2" t="s">
        <v>429</v>
      </c>
      <c r="K34" s="3" t="s">
        <v>43</v>
      </c>
      <c r="L34" s="2" t="s">
        <v>430</v>
      </c>
      <c r="M34" s="3" t="s">
        <v>431</v>
      </c>
      <c r="N34" s="2" t="s">
        <v>181</v>
      </c>
      <c r="O34" s="4"/>
      <c r="P34" s="2"/>
      <c r="Q34" s="2" t="s">
        <v>48</v>
      </c>
      <c r="R34" s="3" t="s">
        <v>49</v>
      </c>
      <c r="S34" s="3" t="s">
        <v>130</v>
      </c>
      <c r="T34" s="2"/>
      <c r="U34" s="2" t="s">
        <v>52</v>
      </c>
      <c r="V34" s="2" t="s">
        <v>432</v>
      </c>
      <c r="W34" s="2" t="s">
        <v>433</v>
      </c>
      <c r="X34" s="2" t="s">
        <v>434</v>
      </c>
      <c r="Y34" s="3" t="s">
        <v>95</v>
      </c>
      <c r="Z34" s="3" t="s">
        <v>57</v>
      </c>
      <c r="AA34" s="2" t="s">
        <v>435</v>
      </c>
      <c r="AB34" s="2"/>
      <c r="AC34" s="3" t="s">
        <v>60</v>
      </c>
      <c r="AD34" s="3" t="s">
        <v>436</v>
      </c>
      <c r="AE34" s="3" t="s">
        <v>148</v>
      </c>
      <c r="AF34" s="3" t="s">
        <v>63</v>
      </c>
      <c r="AG34" s="2"/>
    </row>
    <row r="35" customFormat="false" ht="35.05" hidden="false" customHeight="false" outlineLevel="0" collapsed="false">
      <c r="A35" s="2" t="s">
        <v>437</v>
      </c>
      <c r="B35" s="2" t="s">
        <v>199</v>
      </c>
      <c r="C35" s="3" t="s">
        <v>35</v>
      </c>
      <c r="D35" s="3" t="s">
        <v>36</v>
      </c>
      <c r="E35" s="2" t="s">
        <v>37</v>
      </c>
      <c r="F35" s="3" t="s">
        <v>104</v>
      </c>
      <c r="G35" s="2" t="s">
        <v>214</v>
      </c>
      <c r="H35" s="2" t="s">
        <v>228</v>
      </c>
      <c r="I35" s="2" t="s">
        <v>438</v>
      </c>
      <c r="J35" s="2"/>
      <c r="K35" s="3" t="s">
        <v>71</v>
      </c>
      <c r="L35" s="2" t="s">
        <v>439</v>
      </c>
      <c r="M35" s="3" t="s">
        <v>289</v>
      </c>
      <c r="N35" s="2" t="s">
        <v>142</v>
      </c>
      <c r="O35" s="4"/>
      <c r="P35" s="2"/>
      <c r="Q35" s="2" t="s">
        <v>48</v>
      </c>
      <c r="R35" s="3" t="s">
        <v>49</v>
      </c>
      <c r="S35" s="3" t="s">
        <v>130</v>
      </c>
      <c r="T35" s="2"/>
      <c r="U35" s="2" t="s">
        <v>52</v>
      </c>
      <c r="V35" s="2" t="s">
        <v>440</v>
      </c>
      <c r="W35" s="2" t="s">
        <v>48</v>
      </c>
      <c r="X35" s="2" t="s">
        <v>441</v>
      </c>
      <c r="Y35" s="3" t="s">
        <v>95</v>
      </c>
      <c r="Z35" s="3" t="s">
        <v>57</v>
      </c>
      <c r="AA35" s="2" t="s">
        <v>293</v>
      </c>
      <c r="AB35" s="2"/>
      <c r="AC35" s="3" t="s">
        <v>60</v>
      </c>
      <c r="AD35" s="3" t="s">
        <v>442</v>
      </c>
      <c r="AE35" s="3" t="s">
        <v>148</v>
      </c>
      <c r="AF35" s="3" t="s">
        <v>63</v>
      </c>
      <c r="AG35" s="2"/>
    </row>
    <row r="36" customFormat="false" ht="57.45" hidden="false" customHeight="false" outlineLevel="0" collapsed="false">
      <c r="A36" s="2" t="s">
        <v>443</v>
      </c>
      <c r="B36" s="2" t="s">
        <v>199</v>
      </c>
      <c r="C36" s="3" t="s">
        <v>35</v>
      </c>
      <c r="D36" s="3" t="s">
        <v>36</v>
      </c>
      <c r="E36" s="2" t="s">
        <v>137</v>
      </c>
      <c r="F36" s="3" t="s">
        <v>121</v>
      </c>
      <c r="G36" s="2" t="s">
        <v>297</v>
      </c>
      <c r="H36" s="2" t="s">
        <v>228</v>
      </c>
      <c r="I36" s="2" t="s">
        <v>444</v>
      </c>
      <c r="J36" s="2"/>
      <c r="K36" s="3" t="s">
        <v>126</v>
      </c>
      <c r="L36" s="2" t="s">
        <v>445</v>
      </c>
      <c r="M36" s="3" t="s">
        <v>252</v>
      </c>
      <c r="N36" s="2" t="s">
        <v>74</v>
      </c>
      <c r="O36" s="4"/>
      <c r="P36" s="2" t="s">
        <v>446</v>
      </c>
      <c r="Q36" s="2" t="s">
        <v>48</v>
      </c>
      <c r="R36" s="3" t="s">
        <v>49</v>
      </c>
      <c r="S36" s="3" t="s">
        <v>130</v>
      </c>
      <c r="T36" s="2"/>
      <c r="U36" s="2" t="s">
        <v>52</v>
      </c>
      <c r="V36" s="2" t="s">
        <v>447</v>
      </c>
      <c r="W36" s="2" t="s">
        <v>54</v>
      </c>
      <c r="X36" s="2" t="s">
        <v>448</v>
      </c>
      <c r="Y36" s="3" t="s">
        <v>95</v>
      </c>
      <c r="Z36" s="3" t="s">
        <v>57</v>
      </c>
      <c r="AA36" s="2" t="s">
        <v>449</v>
      </c>
      <c r="AB36" s="2"/>
      <c r="AC36" s="3" t="s">
        <v>60</v>
      </c>
      <c r="AD36" s="3" t="s">
        <v>450</v>
      </c>
      <c r="AE36" s="3" t="s">
        <v>148</v>
      </c>
      <c r="AF36" s="3" t="s">
        <v>63</v>
      </c>
      <c r="AG36" s="2"/>
    </row>
    <row r="37" customFormat="false" ht="124.6" hidden="false" customHeight="false" outlineLevel="0" collapsed="false">
      <c r="A37" s="2" t="s">
        <v>451</v>
      </c>
      <c r="B37" s="2" t="s">
        <v>199</v>
      </c>
      <c r="C37" s="3" t="s">
        <v>35</v>
      </c>
      <c r="D37" s="3" t="s">
        <v>36</v>
      </c>
      <c r="E37" s="2" t="s">
        <v>120</v>
      </c>
      <c r="F37" s="3" t="s">
        <v>121</v>
      </c>
      <c r="G37" s="2" t="s">
        <v>297</v>
      </c>
      <c r="H37" s="2" t="s">
        <v>228</v>
      </c>
      <c r="I37" s="2" t="s">
        <v>452</v>
      </c>
      <c r="J37" s="2" t="s">
        <v>453</v>
      </c>
      <c r="K37" s="3" t="s">
        <v>126</v>
      </c>
      <c r="L37" s="2" t="s">
        <v>454</v>
      </c>
      <c r="M37" s="3" t="s">
        <v>206</v>
      </c>
      <c r="N37" s="2" t="s">
        <v>74</v>
      </c>
      <c r="O37" s="4"/>
      <c r="P37" s="2" t="s">
        <v>455</v>
      </c>
      <c r="Q37" s="2" t="s">
        <v>48</v>
      </c>
      <c r="R37" s="3" t="s">
        <v>49</v>
      </c>
      <c r="S37" s="3" t="s">
        <v>130</v>
      </c>
      <c r="T37" s="2"/>
      <c r="U37" s="2" t="s">
        <v>52</v>
      </c>
      <c r="V37" s="2" t="s">
        <v>456</v>
      </c>
      <c r="W37" s="2" t="s">
        <v>54</v>
      </c>
      <c r="X37" s="2" t="s">
        <v>457</v>
      </c>
      <c r="Y37" s="3" t="s">
        <v>95</v>
      </c>
      <c r="Z37" s="3" t="s">
        <v>57</v>
      </c>
      <c r="AA37" s="2" t="s">
        <v>458</v>
      </c>
      <c r="AB37" s="2"/>
      <c r="AC37" s="3" t="s">
        <v>60</v>
      </c>
      <c r="AD37" s="3" t="s">
        <v>459</v>
      </c>
      <c r="AE37" s="3" t="s">
        <v>148</v>
      </c>
      <c r="AF37" s="3" t="s">
        <v>63</v>
      </c>
      <c r="AG37" s="2"/>
    </row>
    <row r="38" customFormat="false" ht="68.65" hidden="false" customHeight="false" outlineLevel="0" collapsed="false">
      <c r="A38" s="2" t="s">
        <v>460</v>
      </c>
      <c r="B38" s="2" t="s">
        <v>199</v>
      </c>
      <c r="C38" s="3" t="s">
        <v>35</v>
      </c>
      <c r="D38" s="3" t="s">
        <v>36</v>
      </c>
      <c r="E38" s="2" t="s">
        <v>461</v>
      </c>
      <c r="F38" s="3" t="s">
        <v>121</v>
      </c>
      <c r="G38" s="2" t="s">
        <v>297</v>
      </c>
      <c r="H38" s="2" t="s">
        <v>228</v>
      </c>
      <c r="I38" s="2" t="s">
        <v>462</v>
      </c>
      <c r="J38" s="2"/>
      <c r="K38" s="3" t="s">
        <v>126</v>
      </c>
      <c r="L38" s="2" t="s">
        <v>463</v>
      </c>
      <c r="M38" s="3" t="s">
        <v>464</v>
      </c>
      <c r="N38" s="2" t="s">
        <v>74</v>
      </c>
      <c r="O38" s="4"/>
      <c r="P38" s="2" t="s">
        <v>465</v>
      </c>
      <c r="Q38" s="2" t="s">
        <v>48</v>
      </c>
      <c r="R38" s="3" t="s">
        <v>49</v>
      </c>
      <c r="S38" s="3" t="s">
        <v>130</v>
      </c>
      <c r="T38" s="2"/>
      <c r="U38" s="2" t="s">
        <v>52</v>
      </c>
      <c r="V38" s="2" t="s">
        <v>466</v>
      </c>
      <c r="W38" s="2" t="s">
        <v>54</v>
      </c>
      <c r="X38" s="2" t="s">
        <v>467</v>
      </c>
      <c r="Y38" s="3" t="s">
        <v>95</v>
      </c>
      <c r="Z38" s="3" t="s">
        <v>57</v>
      </c>
      <c r="AA38" s="2" t="s">
        <v>458</v>
      </c>
      <c r="AB38" s="2"/>
      <c r="AC38" s="3" t="s">
        <v>60</v>
      </c>
      <c r="AD38" s="3" t="s">
        <v>468</v>
      </c>
      <c r="AE38" s="3" t="s">
        <v>148</v>
      </c>
      <c r="AF38" s="3" t="s">
        <v>63</v>
      </c>
      <c r="AG38" s="2"/>
    </row>
    <row r="39" customFormat="false" ht="68.65" hidden="false" customHeight="false" outlineLevel="0" collapsed="false">
      <c r="A39" s="2" t="s">
        <v>469</v>
      </c>
      <c r="B39" s="2" t="s">
        <v>199</v>
      </c>
      <c r="C39" s="3" t="s">
        <v>35</v>
      </c>
      <c r="D39" s="3" t="s">
        <v>36</v>
      </c>
      <c r="E39" s="2" t="s">
        <v>470</v>
      </c>
      <c r="F39" s="3" t="s">
        <v>121</v>
      </c>
      <c r="G39" s="2" t="s">
        <v>297</v>
      </c>
      <c r="H39" s="2" t="s">
        <v>228</v>
      </c>
      <c r="I39" s="2" t="s">
        <v>471</v>
      </c>
      <c r="J39" s="2"/>
      <c r="K39" s="3" t="s">
        <v>126</v>
      </c>
      <c r="L39" s="2" t="s">
        <v>472</v>
      </c>
      <c r="M39" s="3" t="s">
        <v>473</v>
      </c>
      <c r="N39" s="2" t="s">
        <v>74</v>
      </c>
      <c r="O39" s="4"/>
      <c r="P39" s="2" t="s">
        <v>474</v>
      </c>
      <c r="Q39" s="2" t="s">
        <v>48</v>
      </c>
      <c r="R39" s="3" t="s">
        <v>49</v>
      </c>
      <c r="S39" s="3" t="s">
        <v>130</v>
      </c>
      <c r="T39" s="2"/>
      <c r="U39" s="2" t="s">
        <v>52</v>
      </c>
      <c r="V39" s="2" t="s">
        <v>475</v>
      </c>
      <c r="W39" s="2" t="s">
        <v>48</v>
      </c>
      <c r="X39" s="2" t="s">
        <v>476</v>
      </c>
      <c r="Y39" s="3" t="s">
        <v>95</v>
      </c>
      <c r="Z39" s="3" t="s">
        <v>477</v>
      </c>
      <c r="AA39" s="2" t="s">
        <v>478</v>
      </c>
      <c r="AB39" s="2"/>
      <c r="AC39" s="3" t="s">
        <v>60</v>
      </c>
      <c r="AD39" s="3" t="s">
        <v>479</v>
      </c>
      <c r="AE39" s="3" t="s">
        <v>148</v>
      </c>
      <c r="AF39" s="3" t="s">
        <v>63</v>
      </c>
      <c r="AG39" s="2"/>
    </row>
    <row r="40" customFormat="false" ht="135.8" hidden="false" customHeight="false" outlineLevel="0" collapsed="false">
      <c r="A40" s="2" t="s">
        <v>480</v>
      </c>
      <c r="B40" s="2" t="s">
        <v>481</v>
      </c>
      <c r="C40" s="3" t="s">
        <v>35</v>
      </c>
      <c r="D40" s="3" t="s">
        <v>36</v>
      </c>
      <c r="E40" s="2" t="s">
        <v>482</v>
      </c>
      <c r="F40" s="3" t="s">
        <v>201</v>
      </c>
      <c r="G40" s="2" t="s">
        <v>483</v>
      </c>
      <c r="H40" s="2" t="s">
        <v>484</v>
      </c>
      <c r="I40" s="2" t="s">
        <v>485</v>
      </c>
      <c r="J40" s="2" t="s">
        <v>486</v>
      </c>
      <c r="K40" s="3" t="s">
        <v>126</v>
      </c>
      <c r="L40" s="2" t="s">
        <v>487</v>
      </c>
      <c r="M40" s="3" t="s">
        <v>488</v>
      </c>
      <c r="N40" s="2" t="s">
        <v>74</v>
      </c>
      <c r="O40" s="4"/>
      <c r="P40" s="2" t="s">
        <v>489</v>
      </c>
      <c r="Q40" s="2" t="s">
        <v>48</v>
      </c>
      <c r="R40" s="3" t="s">
        <v>49</v>
      </c>
      <c r="S40" s="3" t="s">
        <v>130</v>
      </c>
      <c r="T40" s="2"/>
      <c r="U40" s="2" t="s">
        <v>181</v>
      </c>
      <c r="V40" s="2" t="s">
        <v>490</v>
      </c>
      <c r="W40" s="2" t="s">
        <v>54</v>
      </c>
      <c r="X40" s="2" t="s">
        <v>491</v>
      </c>
      <c r="Y40" s="3" t="s">
        <v>95</v>
      </c>
      <c r="Z40" s="3" t="s">
        <v>57</v>
      </c>
      <c r="AA40" s="2" t="s">
        <v>492</v>
      </c>
      <c r="AB40" s="2" t="s">
        <v>493</v>
      </c>
      <c r="AC40" s="3" t="s">
        <v>60</v>
      </c>
      <c r="AD40" s="3" t="s">
        <v>494</v>
      </c>
      <c r="AE40" s="3" t="s">
        <v>62</v>
      </c>
      <c r="AF40" s="3" t="s">
        <v>63</v>
      </c>
      <c r="AG40" s="2" t="s">
        <v>495</v>
      </c>
    </row>
    <row r="41" customFormat="false" ht="113.4" hidden="false" customHeight="false" outlineLevel="0" collapsed="false">
      <c r="A41" s="2" t="s">
        <v>496</v>
      </c>
      <c r="B41" s="2" t="s">
        <v>497</v>
      </c>
      <c r="C41" s="3" t="s">
        <v>35</v>
      </c>
      <c r="D41" s="3" t="s">
        <v>36</v>
      </c>
      <c r="E41" s="2" t="s">
        <v>498</v>
      </c>
      <c r="F41" s="3" t="s">
        <v>174</v>
      </c>
      <c r="G41" s="2" t="s">
        <v>175</v>
      </c>
      <c r="H41" s="2" t="s">
        <v>499</v>
      </c>
      <c r="I41" s="2" t="s">
        <v>500</v>
      </c>
      <c r="J41" s="2" t="s">
        <v>501</v>
      </c>
      <c r="K41" s="3" t="s">
        <v>126</v>
      </c>
      <c r="L41" s="2" t="s">
        <v>502</v>
      </c>
      <c r="M41" s="3" t="s">
        <v>503</v>
      </c>
      <c r="N41" s="2" t="s">
        <v>74</v>
      </c>
      <c r="O41" s="4"/>
      <c r="P41" s="2" t="s">
        <v>504</v>
      </c>
      <c r="Q41" s="2" t="s">
        <v>48</v>
      </c>
      <c r="R41" s="3" t="s">
        <v>49</v>
      </c>
      <c r="S41" s="3" t="s">
        <v>50</v>
      </c>
      <c r="T41" s="2" t="s">
        <v>505</v>
      </c>
      <c r="U41" s="2" t="s">
        <v>181</v>
      </c>
      <c r="V41" s="2" t="s">
        <v>506</v>
      </c>
      <c r="W41" s="2" t="s">
        <v>54</v>
      </c>
      <c r="X41" s="2" t="s">
        <v>507</v>
      </c>
      <c r="Y41" s="3" t="s">
        <v>79</v>
      </c>
      <c r="Z41" s="3" t="s">
        <v>57</v>
      </c>
      <c r="AA41" s="2" t="s">
        <v>508</v>
      </c>
      <c r="AB41" s="2" t="s">
        <v>509</v>
      </c>
      <c r="AC41" s="3" t="s">
        <v>60</v>
      </c>
      <c r="AD41" s="3" t="s">
        <v>510</v>
      </c>
      <c r="AE41" s="3" t="s">
        <v>148</v>
      </c>
      <c r="AF41" s="3" t="s">
        <v>63</v>
      </c>
      <c r="AG41" s="2" t="s">
        <v>511</v>
      </c>
    </row>
    <row r="42" customFormat="false" ht="46.25" hidden="false" customHeight="false" outlineLevel="0" collapsed="false">
      <c r="A42" s="2" t="s">
        <v>512</v>
      </c>
      <c r="B42" s="2" t="s">
        <v>497</v>
      </c>
      <c r="C42" s="3" t="s">
        <v>35</v>
      </c>
      <c r="D42" s="3" t="s">
        <v>36</v>
      </c>
      <c r="E42" s="2" t="s">
        <v>37</v>
      </c>
      <c r="F42" s="3" t="s">
        <v>104</v>
      </c>
      <c r="G42" s="2" t="s">
        <v>214</v>
      </c>
      <c r="H42" s="2" t="s">
        <v>513</v>
      </c>
      <c r="I42" s="2" t="s">
        <v>514</v>
      </c>
      <c r="J42" s="2" t="s">
        <v>515</v>
      </c>
      <c r="K42" s="3" t="s">
        <v>108</v>
      </c>
      <c r="L42" s="2" t="s">
        <v>516</v>
      </c>
      <c r="M42" s="3" t="s">
        <v>289</v>
      </c>
      <c r="N42" s="2" t="s">
        <v>142</v>
      </c>
      <c r="O42" s="4"/>
      <c r="P42" s="2" t="s">
        <v>517</v>
      </c>
      <c r="Q42" s="2" t="s">
        <v>48</v>
      </c>
      <c r="R42" s="3" t="s">
        <v>49</v>
      </c>
      <c r="S42" s="3" t="s">
        <v>130</v>
      </c>
      <c r="T42" s="2"/>
      <c r="U42" s="2" t="s">
        <v>181</v>
      </c>
      <c r="V42" s="2" t="s">
        <v>506</v>
      </c>
      <c r="W42" s="2" t="s">
        <v>54</v>
      </c>
      <c r="X42" s="2" t="s">
        <v>518</v>
      </c>
      <c r="Y42" s="3" t="s">
        <v>95</v>
      </c>
      <c r="Z42" s="3" t="s">
        <v>57</v>
      </c>
      <c r="AA42" s="2" t="s">
        <v>519</v>
      </c>
      <c r="AB42" s="2" t="s">
        <v>520</v>
      </c>
      <c r="AC42" s="3" t="s">
        <v>60</v>
      </c>
      <c r="AD42" s="3" t="s">
        <v>521</v>
      </c>
      <c r="AE42" s="3" t="s">
        <v>148</v>
      </c>
      <c r="AF42" s="3" t="s">
        <v>63</v>
      </c>
      <c r="AG42" s="2" t="s">
        <v>522</v>
      </c>
    </row>
    <row r="43" customFormat="false" ht="68.65" hidden="false" customHeight="false" outlineLevel="0" collapsed="false">
      <c r="A43" s="2" t="s">
        <v>523</v>
      </c>
      <c r="B43" s="2" t="s">
        <v>497</v>
      </c>
      <c r="C43" s="3" t="s">
        <v>35</v>
      </c>
      <c r="D43" s="3" t="s">
        <v>36</v>
      </c>
      <c r="E43" s="2" t="s">
        <v>103</v>
      </c>
      <c r="F43" s="3" t="s">
        <v>201</v>
      </c>
      <c r="G43" s="2" t="s">
        <v>105</v>
      </c>
      <c r="H43" s="2" t="s">
        <v>513</v>
      </c>
      <c r="I43" s="2" t="s">
        <v>524</v>
      </c>
      <c r="J43" s="2" t="s">
        <v>525</v>
      </c>
      <c r="K43" s="3" t="s">
        <v>126</v>
      </c>
      <c r="L43" s="2" t="s">
        <v>526</v>
      </c>
      <c r="M43" s="3" t="s">
        <v>231</v>
      </c>
      <c r="N43" s="2" t="s">
        <v>142</v>
      </c>
      <c r="O43" s="4"/>
      <c r="P43" s="2" t="s">
        <v>527</v>
      </c>
      <c r="Q43" s="2" t="s">
        <v>48</v>
      </c>
      <c r="R43" s="3" t="s">
        <v>49</v>
      </c>
      <c r="S43" s="3" t="s">
        <v>130</v>
      </c>
      <c r="T43" s="2"/>
      <c r="U43" s="2" t="s">
        <v>52</v>
      </c>
      <c r="V43" s="2" t="s">
        <v>528</v>
      </c>
      <c r="W43" s="2" t="s">
        <v>54</v>
      </c>
      <c r="X43" s="2" t="s">
        <v>529</v>
      </c>
      <c r="Y43" s="3" t="s">
        <v>79</v>
      </c>
      <c r="Z43" s="3" t="s">
        <v>530</v>
      </c>
      <c r="AA43" s="2" t="s">
        <v>531</v>
      </c>
      <c r="AB43" s="2" t="s">
        <v>532</v>
      </c>
      <c r="AC43" s="3" t="s">
        <v>60</v>
      </c>
      <c r="AD43" s="3" t="s">
        <v>533</v>
      </c>
      <c r="AE43" s="3" t="s">
        <v>148</v>
      </c>
      <c r="AF43" s="3" t="s">
        <v>63</v>
      </c>
      <c r="AG43" s="2" t="s">
        <v>534</v>
      </c>
    </row>
    <row r="44" customFormat="false" ht="68.65" hidden="false" customHeight="false" outlineLevel="0" collapsed="false">
      <c r="A44" s="2" t="s">
        <v>535</v>
      </c>
      <c r="B44" s="2" t="s">
        <v>497</v>
      </c>
      <c r="C44" s="3" t="s">
        <v>35</v>
      </c>
      <c r="D44" s="3" t="s">
        <v>36</v>
      </c>
      <c r="E44" s="2" t="s">
        <v>37</v>
      </c>
      <c r="F44" s="3" t="s">
        <v>104</v>
      </c>
      <c r="G44" s="2" t="s">
        <v>214</v>
      </c>
      <c r="H44" s="2" t="s">
        <v>513</v>
      </c>
      <c r="I44" s="2" t="s">
        <v>536</v>
      </c>
      <c r="J44" s="2" t="s">
        <v>537</v>
      </c>
      <c r="K44" s="3" t="s">
        <v>57</v>
      </c>
      <c r="L44" s="2" t="s">
        <v>538</v>
      </c>
      <c r="M44" s="3" t="s">
        <v>539</v>
      </c>
      <c r="N44" s="2" t="s">
        <v>142</v>
      </c>
      <c r="O44" s="4"/>
      <c r="P44" s="2" t="s">
        <v>540</v>
      </c>
      <c r="Q44" s="2" t="s">
        <v>48</v>
      </c>
      <c r="R44" s="3" t="s">
        <v>49</v>
      </c>
      <c r="S44" s="3" t="s">
        <v>130</v>
      </c>
      <c r="T44" s="2"/>
      <c r="U44" s="2" t="s">
        <v>181</v>
      </c>
      <c r="V44" s="2" t="s">
        <v>506</v>
      </c>
      <c r="W44" s="2" t="s">
        <v>54</v>
      </c>
      <c r="X44" s="2" t="s">
        <v>541</v>
      </c>
      <c r="Y44" s="3" t="s">
        <v>95</v>
      </c>
      <c r="Z44" s="3" t="s">
        <v>57</v>
      </c>
      <c r="AA44" s="2" t="s">
        <v>542</v>
      </c>
      <c r="AB44" s="2" t="s">
        <v>543</v>
      </c>
      <c r="AC44" s="3" t="s">
        <v>60</v>
      </c>
      <c r="AD44" s="3" t="s">
        <v>521</v>
      </c>
      <c r="AE44" s="3" t="s">
        <v>62</v>
      </c>
      <c r="AF44" s="3" t="s">
        <v>63</v>
      </c>
      <c r="AG44" s="2" t="s">
        <v>544</v>
      </c>
    </row>
    <row r="45" customFormat="false" ht="68.65" hidden="false" customHeight="false" outlineLevel="0" collapsed="false">
      <c r="A45" s="2" t="s">
        <v>545</v>
      </c>
      <c r="B45" s="2" t="s">
        <v>497</v>
      </c>
      <c r="C45" s="3" t="s">
        <v>35</v>
      </c>
      <c r="D45" s="3" t="s">
        <v>36</v>
      </c>
      <c r="E45" s="2" t="s">
        <v>37</v>
      </c>
      <c r="F45" s="3" t="s">
        <v>415</v>
      </c>
      <c r="G45" s="2" t="s">
        <v>546</v>
      </c>
      <c r="H45" s="2" t="s">
        <v>513</v>
      </c>
      <c r="I45" s="2" t="s">
        <v>547</v>
      </c>
      <c r="J45" s="2" t="s">
        <v>548</v>
      </c>
      <c r="K45" s="3" t="s">
        <v>419</v>
      </c>
      <c r="L45" s="2" t="s">
        <v>549</v>
      </c>
      <c r="M45" s="3" t="s">
        <v>550</v>
      </c>
      <c r="N45" s="2" t="s">
        <v>142</v>
      </c>
      <c r="O45" s="4"/>
      <c r="P45" s="2" t="s">
        <v>551</v>
      </c>
      <c r="Q45" s="2" t="s">
        <v>48</v>
      </c>
      <c r="R45" s="3" t="s">
        <v>49</v>
      </c>
      <c r="S45" s="3" t="s">
        <v>130</v>
      </c>
      <c r="T45" s="2"/>
      <c r="U45" s="2" t="s">
        <v>263</v>
      </c>
      <c r="V45" s="2" t="s">
        <v>506</v>
      </c>
      <c r="W45" s="2" t="s">
        <v>54</v>
      </c>
      <c r="X45" s="2" t="s">
        <v>552</v>
      </c>
      <c r="Y45" s="3" t="s">
        <v>79</v>
      </c>
      <c r="Z45" s="3" t="s">
        <v>57</v>
      </c>
      <c r="AA45" s="2" t="s">
        <v>553</v>
      </c>
      <c r="AB45" s="2" t="s">
        <v>554</v>
      </c>
      <c r="AC45" s="3" t="s">
        <v>60</v>
      </c>
      <c r="AD45" s="3" t="s">
        <v>555</v>
      </c>
      <c r="AE45" s="3" t="s">
        <v>148</v>
      </c>
      <c r="AF45" s="3" t="s">
        <v>63</v>
      </c>
      <c r="AG45" s="2" t="s">
        <v>556</v>
      </c>
    </row>
    <row r="46" customFormat="false" ht="57.45" hidden="false" customHeight="false" outlineLevel="0" collapsed="false">
      <c r="A46" s="2" t="s">
        <v>557</v>
      </c>
      <c r="B46" s="2" t="s">
        <v>497</v>
      </c>
      <c r="C46" s="3" t="s">
        <v>35</v>
      </c>
      <c r="D46" s="3" t="s">
        <v>36</v>
      </c>
      <c r="E46" s="2" t="s">
        <v>137</v>
      </c>
      <c r="F46" s="3" t="s">
        <v>121</v>
      </c>
      <c r="G46" s="2" t="s">
        <v>122</v>
      </c>
      <c r="H46" s="2" t="s">
        <v>499</v>
      </c>
      <c r="I46" s="2" t="s">
        <v>558</v>
      </c>
      <c r="J46" s="2" t="s">
        <v>559</v>
      </c>
      <c r="K46" s="3" t="s">
        <v>126</v>
      </c>
      <c r="L46" s="2" t="s">
        <v>560</v>
      </c>
      <c r="M46" s="3" t="s">
        <v>561</v>
      </c>
      <c r="N46" s="2" t="s">
        <v>74</v>
      </c>
      <c r="O46" s="4" t="n">
        <v>2</v>
      </c>
      <c r="P46" s="2" t="s">
        <v>562</v>
      </c>
      <c r="Q46" s="2" t="s">
        <v>48</v>
      </c>
      <c r="R46" s="3" t="s">
        <v>49</v>
      </c>
      <c r="S46" s="3" t="s">
        <v>130</v>
      </c>
      <c r="T46" s="2"/>
      <c r="U46" s="2" t="s">
        <v>52</v>
      </c>
      <c r="V46" s="2" t="s">
        <v>563</v>
      </c>
      <c r="W46" s="2" t="s">
        <v>48</v>
      </c>
      <c r="X46" s="2" t="s">
        <v>564</v>
      </c>
      <c r="Y46" s="3" t="s">
        <v>79</v>
      </c>
      <c r="Z46" s="3" t="s">
        <v>57</v>
      </c>
      <c r="AA46" s="2" t="s">
        <v>565</v>
      </c>
      <c r="AB46" s="2" t="s">
        <v>566</v>
      </c>
      <c r="AC46" s="3" t="s">
        <v>60</v>
      </c>
      <c r="AD46" s="3" t="s">
        <v>567</v>
      </c>
      <c r="AE46" s="3" t="s">
        <v>148</v>
      </c>
      <c r="AF46" s="3" t="s">
        <v>63</v>
      </c>
      <c r="AG46" s="2" t="s">
        <v>568</v>
      </c>
    </row>
    <row r="47" customFormat="false" ht="91" hidden="false" customHeight="false" outlineLevel="0" collapsed="false">
      <c r="A47" s="2" t="s">
        <v>569</v>
      </c>
      <c r="B47" s="2" t="s">
        <v>497</v>
      </c>
      <c r="C47" s="3" t="s">
        <v>35</v>
      </c>
      <c r="D47" s="3" t="s">
        <v>36</v>
      </c>
      <c r="E47" s="2" t="s">
        <v>120</v>
      </c>
      <c r="F47" s="3" t="s">
        <v>174</v>
      </c>
      <c r="G47" s="2" t="s">
        <v>570</v>
      </c>
      <c r="H47" s="2" t="s">
        <v>513</v>
      </c>
      <c r="I47" s="2" t="s">
        <v>571</v>
      </c>
      <c r="J47" s="2" t="s">
        <v>572</v>
      </c>
      <c r="K47" s="3" t="s">
        <v>126</v>
      </c>
      <c r="L47" s="2" t="s">
        <v>573</v>
      </c>
      <c r="M47" s="3" t="s">
        <v>574</v>
      </c>
      <c r="N47" s="2" t="s">
        <v>142</v>
      </c>
      <c r="O47" s="4"/>
      <c r="P47" s="2" t="s">
        <v>575</v>
      </c>
      <c r="Q47" s="2" t="s">
        <v>48</v>
      </c>
      <c r="R47" s="3" t="s">
        <v>49</v>
      </c>
      <c r="S47" s="3" t="s">
        <v>130</v>
      </c>
      <c r="T47" s="2"/>
      <c r="U47" s="2" t="s">
        <v>52</v>
      </c>
      <c r="V47" s="2" t="s">
        <v>576</v>
      </c>
      <c r="W47" s="2" t="s">
        <v>54</v>
      </c>
      <c r="X47" s="2" t="s">
        <v>577</v>
      </c>
      <c r="Y47" s="3" t="s">
        <v>95</v>
      </c>
      <c r="Z47" s="3" t="s">
        <v>578</v>
      </c>
      <c r="AA47" s="2" t="s">
        <v>579</v>
      </c>
      <c r="AB47" s="2"/>
      <c r="AC47" s="3" t="s">
        <v>60</v>
      </c>
      <c r="AD47" s="3" t="s">
        <v>580</v>
      </c>
      <c r="AE47" s="3" t="s">
        <v>62</v>
      </c>
      <c r="AF47" s="3" t="s">
        <v>63</v>
      </c>
      <c r="AG47" s="2" t="s">
        <v>581</v>
      </c>
    </row>
    <row r="48" customFormat="false" ht="46.25" hidden="false" customHeight="false" outlineLevel="0" collapsed="false">
      <c r="A48" s="2" t="s">
        <v>582</v>
      </c>
      <c r="B48" s="2" t="s">
        <v>497</v>
      </c>
      <c r="C48" s="3" t="s">
        <v>35</v>
      </c>
      <c r="D48" s="3" t="s">
        <v>36</v>
      </c>
      <c r="E48" s="2" t="s">
        <v>137</v>
      </c>
      <c r="F48" s="3" t="s">
        <v>121</v>
      </c>
      <c r="G48" s="2" t="s">
        <v>122</v>
      </c>
      <c r="H48" s="2" t="s">
        <v>583</v>
      </c>
      <c r="I48" s="2" t="s">
        <v>584</v>
      </c>
      <c r="J48" s="2" t="s">
        <v>585</v>
      </c>
      <c r="K48" s="3" t="s">
        <v>126</v>
      </c>
      <c r="L48" s="2" t="s">
        <v>586</v>
      </c>
      <c r="M48" s="3" t="s">
        <v>587</v>
      </c>
      <c r="N48" s="2" t="s">
        <v>74</v>
      </c>
      <c r="O48" s="4" t="n">
        <v>5</v>
      </c>
      <c r="P48" s="2" t="s">
        <v>588</v>
      </c>
      <c r="Q48" s="2" t="s">
        <v>48</v>
      </c>
      <c r="R48" s="3" t="s">
        <v>49</v>
      </c>
      <c r="S48" s="3" t="s">
        <v>130</v>
      </c>
      <c r="T48" s="2"/>
      <c r="U48" s="2" t="s">
        <v>52</v>
      </c>
      <c r="V48" s="2" t="s">
        <v>589</v>
      </c>
      <c r="W48" s="2" t="s">
        <v>48</v>
      </c>
      <c r="X48" s="2" t="s">
        <v>590</v>
      </c>
      <c r="Y48" s="3" t="s">
        <v>79</v>
      </c>
      <c r="Z48" s="3" t="s">
        <v>591</v>
      </c>
      <c r="AA48" s="2" t="s">
        <v>565</v>
      </c>
      <c r="AB48" s="2" t="s">
        <v>566</v>
      </c>
      <c r="AC48" s="3" t="s">
        <v>60</v>
      </c>
      <c r="AD48" s="3" t="s">
        <v>592</v>
      </c>
      <c r="AE48" s="3" t="s">
        <v>148</v>
      </c>
      <c r="AF48" s="3" t="s">
        <v>63</v>
      </c>
      <c r="AG48" s="2" t="s">
        <v>593</v>
      </c>
    </row>
    <row r="49" customFormat="false" ht="147" hidden="false" customHeight="false" outlineLevel="0" collapsed="false">
      <c r="A49" s="2" t="s">
        <v>594</v>
      </c>
      <c r="B49" s="2" t="s">
        <v>497</v>
      </c>
      <c r="C49" s="3" t="s">
        <v>35</v>
      </c>
      <c r="D49" s="3" t="s">
        <v>36</v>
      </c>
      <c r="E49" s="2" t="s">
        <v>227</v>
      </c>
      <c r="F49" s="3" t="s">
        <v>104</v>
      </c>
      <c r="G49" s="2" t="s">
        <v>595</v>
      </c>
      <c r="H49" s="2" t="s">
        <v>513</v>
      </c>
      <c r="I49" s="2" t="s">
        <v>596</v>
      </c>
      <c r="J49" s="2" t="s">
        <v>597</v>
      </c>
      <c r="K49" s="3" t="s">
        <v>108</v>
      </c>
      <c r="L49" s="2" t="s">
        <v>598</v>
      </c>
      <c r="M49" s="3" t="s">
        <v>599</v>
      </c>
      <c r="N49" s="2" t="s">
        <v>46</v>
      </c>
      <c r="O49" s="4"/>
      <c r="P49" s="2" t="s">
        <v>600</v>
      </c>
      <c r="Q49" s="2" t="s">
        <v>48</v>
      </c>
      <c r="R49" s="3" t="s">
        <v>49</v>
      </c>
      <c r="S49" s="3" t="s">
        <v>130</v>
      </c>
      <c r="T49" s="2"/>
      <c r="U49" s="2" t="s">
        <v>52</v>
      </c>
      <c r="V49" s="2" t="s">
        <v>57</v>
      </c>
      <c r="W49" s="2" t="s">
        <v>54</v>
      </c>
      <c r="X49" s="2" t="s">
        <v>601</v>
      </c>
      <c r="Y49" s="3" t="s">
        <v>95</v>
      </c>
      <c r="Z49" s="3" t="s">
        <v>57</v>
      </c>
      <c r="AA49" s="2" t="s">
        <v>602</v>
      </c>
      <c r="AB49" s="2"/>
      <c r="AC49" s="3" t="s">
        <v>60</v>
      </c>
      <c r="AD49" s="3" t="s">
        <v>603</v>
      </c>
      <c r="AE49" s="3" t="s">
        <v>62</v>
      </c>
      <c r="AF49" s="3" t="s">
        <v>63</v>
      </c>
      <c r="AG49" s="2" t="s">
        <v>604</v>
      </c>
    </row>
    <row r="50" customFormat="false" ht="68.65" hidden="false" customHeight="false" outlineLevel="0" collapsed="false">
      <c r="A50" s="2" t="s">
        <v>605</v>
      </c>
      <c r="B50" s="2" t="s">
        <v>497</v>
      </c>
      <c r="C50" s="3" t="s">
        <v>35</v>
      </c>
      <c r="D50" s="3" t="s">
        <v>36</v>
      </c>
      <c r="E50" s="2" t="s">
        <v>498</v>
      </c>
      <c r="F50" s="3" t="s">
        <v>121</v>
      </c>
      <c r="G50" s="2" t="s">
        <v>175</v>
      </c>
      <c r="H50" s="2" t="s">
        <v>513</v>
      </c>
      <c r="I50" s="2" t="s">
        <v>606</v>
      </c>
      <c r="J50" s="2" t="s">
        <v>607</v>
      </c>
      <c r="K50" s="3" t="s">
        <v>126</v>
      </c>
      <c r="L50" s="2" t="s">
        <v>608</v>
      </c>
      <c r="M50" s="3" t="s">
        <v>609</v>
      </c>
      <c r="N50" s="2" t="s">
        <v>74</v>
      </c>
      <c r="O50" s="4"/>
      <c r="P50" s="2" t="s">
        <v>610</v>
      </c>
      <c r="Q50" s="2" t="s">
        <v>48</v>
      </c>
      <c r="R50" s="3" t="s">
        <v>49</v>
      </c>
      <c r="S50" s="3" t="s">
        <v>130</v>
      </c>
      <c r="T50" s="2"/>
      <c r="U50" s="2" t="s">
        <v>52</v>
      </c>
      <c r="V50" s="2" t="s">
        <v>611</v>
      </c>
      <c r="W50" s="2" t="s">
        <v>48</v>
      </c>
      <c r="X50" s="2" t="s">
        <v>612</v>
      </c>
      <c r="Y50" s="3" t="s">
        <v>79</v>
      </c>
      <c r="Z50" s="3" t="s">
        <v>613</v>
      </c>
      <c r="AA50" s="2" t="s">
        <v>614</v>
      </c>
      <c r="AB50" s="2" t="s">
        <v>615</v>
      </c>
      <c r="AC50" s="3" t="s">
        <v>60</v>
      </c>
      <c r="AD50" s="3" t="s">
        <v>616</v>
      </c>
      <c r="AE50" s="3" t="s">
        <v>148</v>
      </c>
      <c r="AF50" s="3" t="s">
        <v>63</v>
      </c>
      <c r="AG50" s="2" t="s">
        <v>617</v>
      </c>
    </row>
    <row r="51" customFormat="false" ht="102.2" hidden="false" customHeight="false" outlineLevel="0" collapsed="false">
      <c r="A51" s="2" t="s">
        <v>618</v>
      </c>
      <c r="B51" s="2" t="s">
        <v>497</v>
      </c>
      <c r="C51" s="3" t="s">
        <v>35</v>
      </c>
      <c r="D51" s="3" t="s">
        <v>36</v>
      </c>
      <c r="E51" s="2" t="s">
        <v>37</v>
      </c>
      <c r="F51" s="3" t="s">
        <v>104</v>
      </c>
      <c r="G51" s="2" t="s">
        <v>214</v>
      </c>
      <c r="H51" s="2" t="s">
        <v>513</v>
      </c>
      <c r="I51" s="2" t="s">
        <v>619</v>
      </c>
      <c r="J51" s="2" t="s">
        <v>620</v>
      </c>
      <c r="K51" s="3" t="s">
        <v>216</v>
      </c>
      <c r="L51" s="2" t="s">
        <v>621</v>
      </c>
      <c r="M51" s="3" t="s">
        <v>622</v>
      </c>
      <c r="N51" s="2" t="s">
        <v>142</v>
      </c>
      <c r="O51" s="4"/>
      <c r="P51" s="2" t="s">
        <v>623</v>
      </c>
      <c r="Q51" s="2" t="s">
        <v>48</v>
      </c>
      <c r="R51" s="3" t="s">
        <v>49</v>
      </c>
      <c r="S51" s="3" t="s">
        <v>130</v>
      </c>
      <c r="T51" s="2"/>
      <c r="U51" s="2" t="s">
        <v>52</v>
      </c>
      <c r="V51" s="2" t="s">
        <v>506</v>
      </c>
      <c r="W51" s="2" t="s">
        <v>54</v>
      </c>
      <c r="X51" s="2" t="s">
        <v>624</v>
      </c>
      <c r="Y51" s="3" t="s">
        <v>95</v>
      </c>
      <c r="Z51" s="3" t="s">
        <v>625</v>
      </c>
      <c r="AA51" s="2" t="s">
        <v>565</v>
      </c>
      <c r="AB51" s="2" t="s">
        <v>626</v>
      </c>
      <c r="AC51" s="3" t="s">
        <v>98</v>
      </c>
      <c r="AD51" s="3" t="s">
        <v>627</v>
      </c>
      <c r="AE51" s="3" t="s">
        <v>62</v>
      </c>
      <c r="AF51" s="3" t="s">
        <v>63</v>
      </c>
      <c r="AG51" s="2" t="s">
        <v>628</v>
      </c>
    </row>
    <row r="52" customFormat="false" ht="102.2" hidden="false" customHeight="false" outlineLevel="0" collapsed="false">
      <c r="A52" s="2" t="s">
        <v>629</v>
      </c>
      <c r="B52" s="2" t="s">
        <v>497</v>
      </c>
      <c r="C52" s="3" t="s">
        <v>35</v>
      </c>
      <c r="D52" s="3" t="s">
        <v>36</v>
      </c>
      <c r="E52" s="2" t="s">
        <v>137</v>
      </c>
      <c r="F52" s="3" t="s">
        <v>121</v>
      </c>
      <c r="G52" s="2" t="s">
        <v>122</v>
      </c>
      <c r="H52" s="2" t="s">
        <v>630</v>
      </c>
      <c r="I52" s="2" t="s">
        <v>631</v>
      </c>
      <c r="J52" s="2" t="s">
        <v>632</v>
      </c>
      <c r="K52" s="3" t="s">
        <v>126</v>
      </c>
      <c r="L52" s="2" t="s">
        <v>633</v>
      </c>
      <c r="M52" s="3" t="s">
        <v>634</v>
      </c>
      <c r="N52" s="2" t="s">
        <v>74</v>
      </c>
      <c r="O52" s="4" t="n">
        <v>1</v>
      </c>
      <c r="P52" s="2" t="s">
        <v>635</v>
      </c>
      <c r="Q52" s="2" t="s">
        <v>636</v>
      </c>
      <c r="R52" s="3" t="s">
        <v>637</v>
      </c>
      <c r="S52" s="3" t="s">
        <v>130</v>
      </c>
      <c r="T52" s="2"/>
      <c r="U52" s="2" t="s">
        <v>52</v>
      </c>
      <c r="V52" s="2" t="s">
        <v>638</v>
      </c>
      <c r="W52" s="2" t="s">
        <v>48</v>
      </c>
      <c r="X52" s="2" t="s">
        <v>639</v>
      </c>
      <c r="Y52" s="3" t="s">
        <v>79</v>
      </c>
      <c r="Z52" s="3" t="s">
        <v>57</v>
      </c>
      <c r="AA52" s="2" t="s">
        <v>565</v>
      </c>
      <c r="AB52" s="2" t="s">
        <v>640</v>
      </c>
      <c r="AC52" s="3" t="s">
        <v>60</v>
      </c>
      <c r="AD52" s="3" t="s">
        <v>641</v>
      </c>
      <c r="AE52" s="3" t="s">
        <v>148</v>
      </c>
      <c r="AF52" s="3" t="s">
        <v>63</v>
      </c>
      <c r="AG52" s="2" t="s">
        <v>642</v>
      </c>
    </row>
    <row r="53" customFormat="false" ht="102.2" hidden="false" customHeight="false" outlineLevel="0" collapsed="false">
      <c r="A53" s="2" t="s">
        <v>643</v>
      </c>
      <c r="B53" s="2" t="s">
        <v>497</v>
      </c>
      <c r="C53" s="3" t="s">
        <v>35</v>
      </c>
      <c r="D53" s="3" t="s">
        <v>36</v>
      </c>
      <c r="E53" s="2" t="s">
        <v>188</v>
      </c>
      <c r="F53" s="3" t="s">
        <v>174</v>
      </c>
      <c r="G53" s="2" t="s">
        <v>644</v>
      </c>
      <c r="H53" s="2" t="s">
        <v>513</v>
      </c>
      <c r="I53" s="2" t="s">
        <v>645</v>
      </c>
      <c r="J53" s="2" t="s">
        <v>646</v>
      </c>
      <c r="K53" s="3" t="s">
        <v>126</v>
      </c>
      <c r="L53" s="2" t="s">
        <v>647</v>
      </c>
      <c r="M53" s="3" t="s">
        <v>648</v>
      </c>
      <c r="N53" s="2" t="s">
        <v>74</v>
      </c>
      <c r="O53" s="4"/>
      <c r="P53" s="2" t="s">
        <v>649</v>
      </c>
      <c r="Q53" s="2" t="s">
        <v>48</v>
      </c>
      <c r="R53" s="3" t="s">
        <v>49</v>
      </c>
      <c r="S53" s="3" t="s">
        <v>130</v>
      </c>
      <c r="T53" s="2"/>
      <c r="U53" s="2" t="s">
        <v>52</v>
      </c>
      <c r="V53" s="2" t="s">
        <v>506</v>
      </c>
      <c r="W53" s="2" t="s">
        <v>54</v>
      </c>
      <c r="X53" s="2" t="s">
        <v>650</v>
      </c>
      <c r="Y53" s="3" t="s">
        <v>79</v>
      </c>
      <c r="Z53" s="3" t="s">
        <v>57</v>
      </c>
      <c r="AA53" s="2" t="s">
        <v>565</v>
      </c>
      <c r="AB53" s="2" t="s">
        <v>651</v>
      </c>
      <c r="AC53" s="3" t="s">
        <v>60</v>
      </c>
      <c r="AD53" s="3" t="s">
        <v>652</v>
      </c>
      <c r="AE53" s="3" t="s">
        <v>148</v>
      </c>
      <c r="AF53" s="3" t="s">
        <v>63</v>
      </c>
      <c r="AG53" s="2" t="s">
        <v>653</v>
      </c>
    </row>
    <row r="54" customFormat="false" ht="68.65" hidden="false" customHeight="false" outlineLevel="0" collapsed="false">
      <c r="A54" s="2" t="s">
        <v>654</v>
      </c>
      <c r="B54" s="2" t="s">
        <v>497</v>
      </c>
      <c r="C54" s="3" t="s">
        <v>35</v>
      </c>
      <c r="D54" s="3" t="s">
        <v>36</v>
      </c>
      <c r="E54" s="2" t="s">
        <v>188</v>
      </c>
      <c r="F54" s="3" t="s">
        <v>174</v>
      </c>
      <c r="G54" s="2" t="s">
        <v>644</v>
      </c>
      <c r="H54" s="2" t="s">
        <v>513</v>
      </c>
      <c r="I54" s="2" t="s">
        <v>655</v>
      </c>
      <c r="J54" s="2" t="s">
        <v>656</v>
      </c>
      <c r="K54" s="3" t="s">
        <v>126</v>
      </c>
      <c r="L54" s="2" t="s">
        <v>657</v>
      </c>
      <c r="M54" s="3" t="s">
        <v>658</v>
      </c>
      <c r="N54" s="2" t="s">
        <v>74</v>
      </c>
      <c r="O54" s="4"/>
      <c r="P54" s="2" t="s">
        <v>659</v>
      </c>
      <c r="Q54" s="2" t="s">
        <v>48</v>
      </c>
      <c r="R54" s="3" t="s">
        <v>49</v>
      </c>
      <c r="S54" s="3" t="s">
        <v>130</v>
      </c>
      <c r="T54" s="2"/>
      <c r="U54" s="2" t="s">
        <v>52</v>
      </c>
      <c r="V54" s="2" t="s">
        <v>660</v>
      </c>
      <c r="W54" s="2" t="s">
        <v>54</v>
      </c>
      <c r="X54" s="2" t="s">
        <v>661</v>
      </c>
      <c r="Y54" s="3" t="s">
        <v>95</v>
      </c>
      <c r="Z54" s="3" t="s">
        <v>57</v>
      </c>
      <c r="AA54" s="2" t="s">
        <v>662</v>
      </c>
      <c r="AB54" s="2"/>
      <c r="AC54" s="3" t="s">
        <v>60</v>
      </c>
      <c r="AD54" s="3" t="s">
        <v>652</v>
      </c>
      <c r="AE54" s="3" t="s">
        <v>148</v>
      </c>
      <c r="AF54" s="3" t="s">
        <v>63</v>
      </c>
      <c r="AG54" s="2" t="s">
        <v>663</v>
      </c>
    </row>
    <row r="55" customFormat="false" ht="91" hidden="false" customHeight="false" outlineLevel="0" collapsed="false">
      <c r="A55" s="2" t="s">
        <v>664</v>
      </c>
      <c r="B55" s="2" t="s">
        <v>497</v>
      </c>
      <c r="C55" s="3" t="s">
        <v>35</v>
      </c>
      <c r="D55" s="3" t="s">
        <v>36</v>
      </c>
      <c r="E55" s="2" t="s">
        <v>137</v>
      </c>
      <c r="F55" s="3" t="s">
        <v>121</v>
      </c>
      <c r="G55" s="2" t="s">
        <v>122</v>
      </c>
      <c r="H55" s="2" t="s">
        <v>665</v>
      </c>
      <c r="I55" s="2" t="s">
        <v>666</v>
      </c>
      <c r="J55" s="2" t="s">
        <v>667</v>
      </c>
      <c r="K55" s="3" t="s">
        <v>126</v>
      </c>
      <c r="L55" s="2" t="s">
        <v>668</v>
      </c>
      <c r="M55" s="3" t="s">
        <v>669</v>
      </c>
      <c r="N55" s="2" t="s">
        <v>74</v>
      </c>
      <c r="O55" s="4" t="n">
        <v>3</v>
      </c>
      <c r="P55" s="2" t="s">
        <v>670</v>
      </c>
      <c r="Q55" s="2" t="s">
        <v>636</v>
      </c>
      <c r="R55" s="3" t="s">
        <v>637</v>
      </c>
      <c r="S55" s="3" t="s">
        <v>130</v>
      </c>
      <c r="T55" s="2"/>
      <c r="U55" s="2" t="s">
        <v>52</v>
      </c>
      <c r="V55" s="2" t="s">
        <v>671</v>
      </c>
      <c r="W55" s="2" t="s">
        <v>48</v>
      </c>
      <c r="X55" s="2" t="s">
        <v>672</v>
      </c>
      <c r="Y55" s="3" t="s">
        <v>79</v>
      </c>
      <c r="Z55" s="3" t="s">
        <v>57</v>
      </c>
      <c r="AA55" s="2" t="s">
        <v>565</v>
      </c>
      <c r="AB55" s="2" t="s">
        <v>566</v>
      </c>
      <c r="AC55" s="3" t="s">
        <v>60</v>
      </c>
      <c r="AD55" s="3" t="s">
        <v>673</v>
      </c>
      <c r="AE55" s="3" t="s">
        <v>674</v>
      </c>
      <c r="AF55" s="3" t="s">
        <v>63</v>
      </c>
      <c r="AG55" s="2" t="s">
        <v>675</v>
      </c>
    </row>
    <row r="56" customFormat="false" ht="102.2" hidden="false" customHeight="false" outlineLevel="0" collapsed="false">
      <c r="A56" s="2" t="s">
        <v>676</v>
      </c>
      <c r="B56" s="2" t="s">
        <v>677</v>
      </c>
      <c r="C56" s="3" t="s">
        <v>35</v>
      </c>
      <c r="D56" s="3" t="s">
        <v>36</v>
      </c>
      <c r="E56" s="2" t="s">
        <v>37</v>
      </c>
      <c r="F56" s="3" t="s">
        <v>104</v>
      </c>
      <c r="G56" s="2" t="s">
        <v>426</v>
      </c>
      <c r="H56" s="2" t="s">
        <v>513</v>
      </c>
      <c r="I56" s="2" t="s">
        <v>678</v>
      </c>
      <c r="J56" s="2" t="s">
        <v>679</v>
      </c>
      <c r="K56" s="3" t="s">
        <v>43</v>
      </c>
      <c r="L56" s="2" t="s">
        <v>680</v>
      </c>
      <c r="M56" s="3" t="s">
        <v>681</v>
      </c>
      <c r="N56" s="2" t="s">
        <v>46</v>
      </c>
      <c r="O56" s="4"/>
      <c r="P56" s="2" t="s">
        <v>682</v>
      </c>
      <c r="Q56" s="2" t="s">
        <v>48</v>
      </c>
      <c r="R56" s="3" t="s">
        <v>49</v>
      </c>
      <c r="S56" s="3" t="s">
        <v>130</v>
      </c>
      <c r="T56" s="2"/>
      <c r="U56" s="2" t="s">
        <v>52</v>
      </c>
      <c r="V56" s="2" t="s">
        <v>683</v>
      </c>
      <c r="W56" s="2" t="s">
        <v>433</v>
      </c>
      <c r="X56" s="2" t="s">
        <v>684</v>
      </c>
      <c r="Y56" s="3" t="s">
        <v>79</v>
      </c>
      <c r="Z56" s="3" t="s">
        <v>57</v>
      </c>
      <c r="AA56" s="2" t="s">
        <v>685</v>
      </c>
      <c r="AB56" s="2" t="s">
        <v>686</v>
      </c>
      <c r="AC56" s="3" t="s">
        <v>98</v>
      </c>
      <c r="AD56" s="3" t="s">
        <v>687</v>
      </c>
      <c r="AE56" s="3" t="s">
        <v>62</v>
      </c>
      <c r="AF56" s="3" t="s">
        <v>63</v>
      </c>
      <c r="AG56" s="2" t="s">
        <v>688</v>
      </c>
    </row>
    <row r="57" customFormat="false" ht="135.8" hidden="false" customHeight="false" outlineLevel="0" collapsed="false">
      <c r="A57" s="2" t="s">
        <v>689</v>
      </c>
      <c r="B57" s="2" t="s">
        <v>690</v>
      </c>
      <c r="C57" s="3" t="s">
        <v>35</v>
      </c>
      <c r="D57" s="3" t="s">
        <v>36</v>
      </c>
      <c r="E57" s="2" t="s">
        <v>120</v>
      </c>
      <c r="F57" s="3" t="s">
        <v>121</v>
      </c>
      <c r="G57" s="2" t="s">
        <v>175</v>
      </c>
      <c r="H57" s="2" t="s">
        <v>691</v>
      </c>
      <c r="I57" s="2" t="s">
        <v>692</v>
      </c>
      <c r="J57" s="2" t="s">
        <v>693</v>
      </c>
      <c r="K57" s="3" t="s">
        <v>126</v>
      </c>
      <c r="L57" s="2" t="s">
        <v>694</v>
      </c>
      <c r="M57" s="3" t="s">
        <v>695</v>
      </c>
      <c r="N57" s="2" t="s">
        <v>74</v>
      </c>
      <c r="O57" s="4"/>
      <c r="P57" s="2" t="s">
        <v>696</v>
      </c>
      <c r="Q57" s="2" t="s">
        <v>48</v>
      </c>
      <c r="R57" s="3" t="s">
        <v>49</v>
      </c>
      <c r="S57" s="3" t="s">
        <v>130</v>
      </c>
      <c r="T57" s="2"/>
      <c r="U57" s="2" t="s">
        <v>52</v>
      </c>
      <c r="V57" s="2" t="s">
        <v>697</v>
      </c>
      <c r="W57" s="2" t="s">
        <v>54</v>
      </c>
      <c r="X57" s="2" t="s">
        <v>698</v>
      </c>
      <c r="Y57" s="3" t="s">
        <v>79</v>
      </c>
      <c r="Z57" s="3" t="s">
        <v>57</v>
      </c>
      <c r="AA57" s="2" t="s">
        <v>699</v>
      </c>
      <c r="AB57" s="2"/>
      <c r="AC57" s="3" t="s">
        <v>60</v>
      </c>
      <c r="AD57" s="3" t="s">
        <v>700</v>
      </c>
      <c r="AE57" s="3" t="s">
        <v>148</v>
      </c>
      <c r="AF57" s="3" t="s">
        <v>63</v>
      </c>
      <c r="AG57" s="2" t="s">
        <v>701</v>
      </c>
    </row>
    <row r="58" customFormat="false" ht="68.65" hidden="false" customHeight="false" outlineLevel="0" collapsed="false">
      <c r="A58" s="2" t="s">
        <v>702</v>
      </c>
      <c r="B58" s="2" t="s">
        <v>690</v>
      </c>
      <c r="C58" s="3" t="s">
        <v>35</v>
      </c>
      <c r="D58" s="3" t="s">
        <v>36</v>
      </c>
      <c r="E58" s="2" t="s">
        <v>103</v>
      </c>
      <c r="F58" s="3" t="s">
        <v>104</v>
      </c>
      <c r="G58" s="2" t="s">
        <v>703</v>
      </c>
      <c r="H58" s="2" t="s">
        <v>704</v>
      </c>
      <c r="I58" s="2" t="s">
        <v>705</v>
      </c>
      <c r="J58" s="2" t="s">
        <v>706</v>
      </c>
      <c r="K58" s="3" t="s">
        <v>216</v>
      </c>
      <c r="L58" s="2" t="s">
        <v>707</v>
      </c>
      <c r="M58" s="3" t="s">
        <v>231</v>
      </c>
      <c r="N58" s="2" t="s">
        <v>46</v>
      </c>
      <c r="O58" s="4" t="n">
        <v>10</v>
      </c>
      <c r="P58" s="2" t="s">
        <v>708</v>
      </c>
      <c r="Q58" s="2" t="s">
        <v>48</v>
      </c>
      <c r="R58" s="3" t="s">
        <v>49</v>
      </c>
      <c r="S58" s="3" t="s">
        <v>130</v>
      </c>
      <c r="T58" s="2"/>
      <c r="U58" s="2" t="s">
        <v>52</v>
      </c>
      <c r="V58" s="2" t="s">
        <v>709</v>
      </c>
      <c r="W58" s="2" t="s">
        <v>54</v>
      </c>
      <c r="X58" s="2" t="s">
        <v>710</v>
      </c>
      <c r="Y58" s="3" t="s">
        <v>79</v>
      </c>
      <c r="Z58" s="3" t="s">
        <v>711</v>
      </c>
      <c r="AA58" s="2" t="s">
        <v>712</v>
      </c>
      <c r="AB58" s="2"/>
      <c r="AC58" s="3" t="s">
        <v>60</v>
      </c>
      <c r="AD58" s="3" t="s">
        <v>713</v>
      </c>
      <c r="AE58" s="3" t="s">
        <v>148</v>
      </c>
      <c r="AF58" s="3" t="s">
        <v>63</v>
      </c>
      <c r="AG58" s="2" t="s">
        <v>714</v>
      </c>
    </row>
    <row r="59" customFormat="false" ht="113.4" hidden="false" customHeight="false" outlineLevel="0" collapsed="false">
      <c r="A59" s="2" t="s">
        <v>715</v>
      </c>
      <c r="B59" s="2" t="s">
        <v>690</v>
      </c>
      <c r="C59" s="3" t="s">
        <v>35</v>
      </c>
      <c r="D59" s="3" t="s">
        <v>36</v>
      </c>
      <c r="E59" s="2" t="s">
        <v>37</v>
      </c>
      <c r="F59" s="3" t="s">
        <v>104</v>
      </c>
      <c r="G59" s="2" t="s">
        <v>214</v>
      </c>
      <c r="H59" s="2" t="s">
        <v>716</v>
      </c>
      <c r="I59" s="2" t="s">
        <v>717</v>
      </c>
      <c r="J59" s="2" t="s">
        <v>718</v>
      </c>
      <c r="K59" s="3" t="s">
        <v>242</v>
      </c>
      <c r="L59" s="2" t="s">
        <v>719</v>
      </c>
      <c r="M59" s="3" t="s">
        <v>720</v>
      </c>
      <c r="N59" s="2" t="s">
        <v>46</v>
      </c>
      <c r="O59" s="4"/>
      <c r="P59" s="2" t="s">
        <v>721</v>
      </c>
      <c r="Q59" s="2" t="s">
        <v>48</v>
      </c>
      <c r="R59" s="3" t="s">
        <v>49</v>
      </c>
      <c r="S59" s="3" t="s">
        <v>50</v>
      </c>
      <c r="T59" s="2" t="s">
        <v>722</v>
      </c>
      <c r="U59" s="2" t="s">
        <v>52</v>
      </c>
      <c r="V59" s="2" t="s">
        <v>723</v>
      </c>
      <c r="W59" s="2" t="s">
        <v>54</v>
      </c>
      <c r="X59" s="2" t="s">
        <v>724</v>
      </c>
      <c r="Y59" s="3" t="s">
        <v>725</v>
      </c>
      <c r="Z59" s="3" t="s">
        <v>57</v>
      </c>
      <c r="AA59" s="2" t="s">
        <v>726</v>
      </c>
      <c r="AB59" s="2"/>
      <c r="AC59" s="3" t="s">
        <v>60</v>
      </c>
      <c r="AD59" s="3" t="s">
        <v>727</v>
      </c>
      <c r="AE59" s="3" t="s">
        <v>62</v>
      </c>
      <c r="AF59" s="3" t="s">
        <v>63</v>
      </c>
      <c r="AG59" s="2" t="s">
        <v>728</v>
      </c>
    </row>
    <row r="60" customFormat="false" ht="68.65" hidden="false" customHeight="false" outlineLevel="0" collapsed="false">
      <c r="A60" s="2" t="s">
        <v>729</v>
      </c>
      <c r="B60" s="2" t="s">
        <v>690</v>
      </c>
      <c r="C60" s="3" t="s">
        <v>35</v>
      </c>
      <c r="D60" s="3" t="s">
        <v>36</v>
      </c>
      <c r="E60" s="2" t="s">
        <v>120</v>
      </c>
      <c r="F60" s="3" t="s">
        <v>121</v>
      </c>
      <c r="G60" s="2" t="s">
        <v>730</v>
      </c>
      <c r="H60" s="2" t="s">
        <v>731</v>
      </c>
      <c r="I60" s="2" t="s">
        <v>732</v>
      </c>
      <c r="J60" s="2" t="s">
        <v>733</v>
      </c>
      <c r="K60" s="3" t="s">
        <v>126</v>
      </c>
      <c r="L60" s="2" t="s">
        <v>734</v>
      </c>
      <c r="M60" s="3" t="s">
        <v>735</v>
      </c>
      <c r="N60" s="2" t="s">
        <v>74</v>
      </c>
      <c r="O60" s="4"/>
      <c r="P60" s="2" t="s">
        <v>736</v>
      </c>
      <c r="Q60" s="2" t="s">
        <v>48</v>
      </c>
      <c r="R60" s="3" t="s">
        <v>49</v>
      </c>
      <c r="S60" s="3" t="s">
        <v>130</v>
      </c>
      <c r="T60" s="2"/>
      <c r="U60" s="2" t="s">
        <v>52</v>
      </c>
      <c r="V60" s="2" t="s">
        <v>737</v>
      </c>
      <c r="W60" s="2" t="s">
        <v>54</v>
      </c>
      <c r="X60" s="2" t="s">
        <v>738</v>
      </c>
      <c r="Y60" s="3" t="s">
        <v>79</v>
      </c>
      <c r="Z60" s="3" t="s">
        <v>57</v>
      </c>
      <c r="AA60" s="2" t="s">
        <v>739</v>
      </c>
      <c r="AB60" s="2"/>
      <c r="AC60" s="3" t="s">
        <v>60</v>
      </c>
      <c r="AD60" s="3" t="s">
        <v>740</v>
      </c>
      <c r="AE60" s="3" t="s">
        <v>148</v>
      </c>
      <c r="AF60" s="3" t="s">
        <v>63</v>
      </c>
      <c r="AG60" s="2" t="s">
        <v>741</v>
      </c>
    </row>
    <row r="61" customFormat="false" ht="135.8" hidden="false" customHeight="false" outlineLevel="0" collapsed="false">
      <c r="A61" s="2" t="s">
        <v>742</v>
      </c>
      <c r="B61" s="2" t="s">
        <v>743</v>
      </c>
      <c r="C61" s="3" t="s">
        <v>35</v>
      </c>
      <c r="D61" s="3" t="s">
        <v>36</v>
      </c>
      <c r="E61" s="2" t="s">
        <v>37</v>
      </c>
      <c r="F61" s="3" t="s">
        <v>104</v>
      </c>
      <c r="G61" s="2" t="s">
        <v>39</v>
      </c>
      <c r="H61" s="2" t="s">
        <v>513</v>
      </c>
      <c r="I61" s="2" t="s">
        <v>744</v>
      </c>
      <c r="J61" s="2" t="s">
        <v>745</v>
      </c>
      <c r="K61" s="3" t="s">
        <v>43</v>
      </c>
      <c r="L61" s="2" t="s">
        <v>746</v>
      </c>
      <c r="M61" s="3" t="s">
        <v>747</v>
      </c>
      <c r="N61" s="2" t="s">
        <v>74</v>
      </c>
      <c r="O61" s="4"/>
      <c r="P61" s="2" t="s">
        <v>748</v>
      </c>
      <c r="Q61" s="2" t="s">
        <v>48</v>
      </c>
      <c r="R61" s="3" t="s">
        <v>49</v>
      </c>
      <c r="S61" s="3" t="s">
        <v>130</v>
      </c>
      <c r="T61" s="2"/>
      <c r="U61" s="2" t="s">
        <v>181</v>
      </c>
      <c r="V61" s="2" t="s">
        <v>57</v>
      </c>
      <c r="W61" s="2" t="s">
        <v>433</v>
      </c>
      <c r="X61" s="2" t="s">
        <v>749</v>
      </c>
      <c r="Y61" s="3" t="s">
        <v>56</v>
      </c>
      <c r="Z61" s="3" t="s">
        <v>57</v>
      </c>
      <c r="AA61" s="2" t="s">
        <v>750</v>
      </c>
      <c r="AB61" s="2"/>
      <c r="AC61" s="3" t="s">
        <v>60</v>
      </c>
      <c r="AD61" s="3" t="s">
        <v>751</v>
      </c>
      <c r="AE61" s="3" t="s">
        <v>148</v>
      </c>
      <c r="AF61" s="3" t="s">
        <v>63</v>
      </c>
      <c r="AG61" s="2" t="s">
        <v>752</v>
      </c>
    </row>
    <row r="62" customFormat="false" ht="68.65" hidden="false" customHeight="false" outlineLevel="0" collapsed="false">
      <c r="A62" s="2" t="s">
        <v>753</v>
      </c>
      <c r="B62" s="2" t="s">
        <v>754</v>
      </c>
      <c r="C62" s="3" t="s">
        <v>35</v>
      </c>
      <c r="D62" s="3" t="s">
        <v>36</v>
      </c>
      <c r="E62" s="2" t="s">
        <v>137</v>
      </c>
      <c r="F62" s="3" t="s">
        <v>121</v>
      </c>
      <c r="G62" s="2" t="s">
        <v>755</v>
      </c>
      <c r="H62" s="2" t="s">
        <v>756</v>
      </c>
      <c r="I62" s="2" t="s">
        <v>757</v>
      </c>
      <c r="J62" s="2" t="s">
        <v>758</v>
      </c>
      <c r="K62" s="3" t="s">
        <v>126</v>
      </c>
      <c r="L62" s="2" t="s">
        <v>759</v>
      </c>
      <c r="M62" s="3" t="s">
        <v>165</v>
      </c>
      <c r="N62" s="2" t="s">
        <v>74</v>
      </c>
      <c r="O62" s="4" t="n">
        <v>4</v>
      </c>
      <c r="P62" s="2" t="s">
        <v>760</v>
      </c>
      <c r="Q62" s="2" t="s">
        <v>48</v>
      </c>
      <c r="R62" s="3" t="s">
        <v>49</v>
      </c>
      <c r="S62" s="3" t="s">
        <v>50</v>
      </c>
      <c r="T62" s="2" t="s">
        <v>761</v>
      </c>
      <c r="U62" s="2" t="s">
        <v>52</v>
      </c>
      <c r="V62" s="2" t="s">
        <v>762</v>
      </c>
      <c r="W62" s="2" t="s">
        <v>54</v>
      </c>
      <c r="X62" s="2" t="s">
        <v>763</v>
      </c>
      <c r="Y62" s="3" t="s">
        <v>79</v>
      </c>
      <c r="Z62" s="3" t="s">
        <v>57</v>
      </c>
      <c r="AA62" s="2" t="s">
        <v>764</v>
      </c>
      <c r="AB62" s="2"/>
      <c r="AC62" s="3" t="s">
        <v>60</v>
      </c>
      <c r="AD62" s="3" t="s">
        <v>765</v>
      </c>
      <c r="AE62" s="3" t="s">
        <v>62</v>
      </c>
      <c r="AF62" s="3" t="s">
        <v>63</v>
      </c>
      <c r="AG62" s="2" t="s">
        <v>766</v>
      </c>
    </row>
    <row r="63" customFormat="false" ht="57.45" hidden="false" customHeight="false" outlineLevel="0" collapsed="false">
      <c r="A63" s="2" t="s">
        <v>767</v>
      </c>
      <c r="B63" s="2" t="s">
        <v>754</v>
      </c>
      <c r="C63" s="3" t="s">
        <v>35</v>
      </c>
      <c r="D63" s="3" t="s">
        <v>36</v>
      </c>
      <c r="E63" s="2" t="s">
        <v>120</v>
      </c>
      <c r="F63" s="3" t="s">
        <v>121</v>
      </c>
      <c r="G63" s="2" t="s">
        <v>755</v>
      </c>
      <c r="H63" s="2" t="s">
        <v>756</v>
      </c>
      <c r="I63" s="2" t="s">
        <v>768</v>
      </c>
      <c r="J63" s="2" t="s">
        <v>769</v>
      </c>
      <c r="K63" s="3" t="s">
        <v>126</v>
      </c>
      <c r="L63" s="2" t="s">
        <v>770</v>
      </c>
      <c r="M63" s="3" t="s">
        <v>128</v>
      </c>
      <c r="N63" s="2" t="s">
        <v>74</v>
      </c>
      <c r="O63" s="4"/>
      <c r="P63" s="2" t="s">
        <v>771</v>
      </c>
      <c r="Q63" s="2" t="s">
        <v>48</v>
      </c>
      <c r="R63" s="3" t="s">
        <v>49</v>
      </c>
      <c r="S63" s="3" t="s">
        <v>50</v>
      </c>
      <c r="T63" s="2" t="s">
        <v>761</v>
      </c>
      <c r="U63" s="2" t="s">
        <v>52</v>
      </c>
      <c r="V63" s="2" t="s">
        <v>772</v>
      </c>
      <c r="W63" s="2" t="s">
        <v>54</v>
      </c>
      <c r="X63" s="2" t="s">
        <v>773</v>
      </c>
      <c r="Y63" s="3" t="s">
        <v>79</v>
      </c>
      <c r="Z63" s="3" t="s">
        <v>57</v>
      </c>
      <c r="AA63" s="2" t="s">
        <v>774</v>
      </c>
      <c r="AB63" s="2"/>
      <c r="AC63" s="3" t="s">
        <v>60</v>
      </c>
      <c r="AD63" s="3" t="s">
        <v>765</v>
      </c>
      <c r="AE63" s="3" t="s">
        <v>62</v>
      </c>
      <c r="AF63" s="3" t="s">
        <v>63</v>
      </c>
      <c r="AG63" s="2" t="s">
        <v>775</v>
      </c>
    </row>
    <row r="64" customFormat="false" ht="102.2" hidden="false" customHeight="false" outlineLevel="0" collapsed="false">
      <c r="A64" s="2" t="s">
        <v>776</v>
      </c>
      <c r="B64" s="2" t="s">
        <v>754</v>
      </c>
      <c r="C64" s="3" t="s">
        <v>35</v>
      </c>
      <c r="D64" s="3" t="s">
        <v>36</v>
      </c>
      <c r="E64" s="2" t="s">
        <v>37</v>
      </c>
      <c r="F64" s="3" t="s">
        <v>104</v>
      </c>
      <c r="G64" s="2" t="s">
        <v>777</v>
      </c>
      <c r="H64" s="2" t="s">
        <v>778</v>
      </c>
      <c r="I64" s="2" t="s">
        <v>779</v>
      </c>
      <c r="J64" s="2" t="s">
        <v>780</v>
      </c>
      <c r="K64" s="3" t="s">
        <v>216</v>
      </c>
      <c r="L64" s="2" t="s">
        <v>781</v>
      </c>
      <c r="M64" s="3" t="s">
        <v>782</v>
      </c>
      <c r="N64" s="2" t="s">
        <v>46</v>
      </c>
      <c r="O64" s="4"/>
      <c r="P64" s="2" t="s">
        <v>783</v>
      </c>
      <c r="Q64" s="2" t="s">
        <v>48</v>
      </c>
      <c r="R64" s="3" t="s">
        <v>49</v>
      </c>
      <c r="S64" s="3" t="s">
        <v>50</v>
      </c>
      <c r="T64" s="2" t="s">
        <v>784</v>
      </c>
      <c r="U64" s="2" t="s">
        <v>52</v>
      </c>
      <c r="V64" s="2" t="s">
        <v>785</v>
      </c>
      <c r="W64" s="2" t="s">
        <v>54</v>
      </c>
      <c r="X64" s="2" t="s">
        <v>786</v>
      </c>
      <c r="Y64" s="3" t="s">
        <v>79</v>
      </c>
      <c r="Z64" s="3" t="s">
        <v>57</v>
      </c>
      <c r="AA64" s="2" t="s">
        <v>787</v>
      </c>
      <c r="AB64" s="2"/>
      <c r="AC64" s="3" t="s">
        <v>60</v>
      </c>
      <c r="AD64" s="3" t="s">
        <v>788</v>
      </c>
      <c r="AE64" s="3" t="s">
        <v>62</v>
      </c>
      <c r="AF64" s="3" t="s">
        <v>63</v>
      </c>
      <c r="AG64" s="2" t="s">
        <v>789</v>
      </c>
    </row>
    <row r="65" customFormat="false" ht="102.2" hidden="false" customHeight="false" outlineLevel="0" collapsed="false">
      <c r="A65" s="5" t="s">
        <v>790</v>
      </c>
      <c r="B65" s="5" t="s">
        <v>791</v>
      </c>
      <c r="C65" s="6" t="s">
        <v>792</v>
      </c>
      <c r="D65" s="6" t="s">
        <v>36</v>
      </c>
      <c r="E65" s="5" t="s">
        <v>103</v>
      </c>
      <c r="F65" s="6" t="s">
        <v>104</v>
      </c>
      <c r="G65" s="5" t="s">
        <v>105</v>
      </c>
      <c r="H65" s="5" t="s">
        <v>704</v>
      </c>
      <c r="I65" s="5" t="s">
        <v>793</v>
      </c>
      <c r="J65" s="5" t="s">
        <v>794</v>
      </c>
      <c r="K65" s="6" t="s">
        <v>216</v>
      </c>
      <c r="L65" s="5" t="s">
        <v>795</v>
      </c>
      <c r="M65" s="6" t="s">
        <v>796</v>
      </c>
      <c r="N65" s="5" t="s">
        <v>74</v>
      </c>
      <c r="O65" s="7" t="n">
        <v>7</v>
      </c>
      <c r="P65" s="5" t="s">
        <v>797</v>
      </c>
      <c r="Q65" s="5" t="s">
        <v>48</v>
      </c>
      <c r="R65" s="6" t="s">
        <v>49</v>
      </c>
      <c r="S65" s="6" t="s">
        <v>130</v>
      </c>
      <c r="T65" s="5"/>
      <c r="U65" s="5" t="s">
        <v>52</v>
      </c>
      <c r="V65" s="5" t="s">
        <v>798</v>
      </c>
      <c r="W65" s="5" t="s">
        <v>54</v>
      </c>
      <c r="X65" s="5" t="s">
        <v>799</v>
      </c>
      <c r="Y65" s="6" t="s">
        <v>79</v>
      </c>
      <c r="Z65" s="6" t="s">
        <v>800</v>
      </c>
      <c r="AA65" s="5" t="s">
        <v>801</v>
      </c>
      <c r="AB65" s="5"/>
      <c r="AC65" s="6" t="s">
        <v>60</v>
      </c>
      <c r="AD65" s="6" t="s">
        <v>802</v>
      </c>
      <c r="AE65" s="6" t="s">
        <v>62</v>
      </c>
      <c r="AF65" s="6" t="s">
        <v>63</v>
      </c>
      <c r="AG65" s="5"/>
    </row>
    <row r="66" customFormat="false" ht="91" hidden="false" customHeight="false" outlineLevel="0" collapsed="false">
      <c r="A66" s="5" t="s">
        <v>803</v>
      </c>
      <c r="B66" s="5" t="s">
        <v>804</v>
      </c>
      <c r="C66" s="6" t="s">
        <v>792</v>
      </c>
      <c r="D66" s="6" t="s">
        <v>36</v>
      </c>
      <c r="E66" s="5" t="s">
        <v>103</v>
      </c>
      <c r="F66" s="6" t="s">
        <v>104</v>
      </c>
      <c r="G66" s="5" t="s">
        <v>105</v>
      </c>
      <c r="H66" s="5" t="s">
        <v>704</v>
      </c>
      <c r="I66" s="5" t="s">
        <v>805</v>
      </c>
      <c r="J66" s="5" t="s">
        <v>806</v>
      </c>
      <c r="K66" s="6" t="s">
        <v>216</v>
      </c>
      <c r="L66" s="5" t="s">
        <v>807</v>
      </c>
      <c r="M66" s="6" t="s">
        <v>796</v>
      </c>
      <c r="N66" s="5" t="s">
        <v>74</v>
      </c>
      <c r="O66" s="7"/>
      <c r="P66" s="5" t="s">
        <v>808</v>
      </c>
      <c r="Q66" s="5" t="s">
        <v>48</v>
      </c>
      <c r="R66" s="6" t="s">
        <v>49</v>
      </c>
      <c r="S66" s="6" t="s">
        <v>130</v>
      </c>
      <c r="T66" s="5"/>
      <c r="U66" s="5" t="s">
        <v>52</v>
      </c>
      <c r="V66" s="5" t="s">
        <v>809</v>
      </c>
      <c r="W66" s="5" t="s">
        <v>54</v>
      </c>
      <c r="X66" s="5" t="s">
        <v>810</v>
      </c>
      <c r="Y66" s="6" t="s">
        <v>79</v>
      </c>
      <c r="Z66" s="6" t="s">
        <v>800</v>
      </c>
      <c r="AA66" s="5" t="s">
        <v>811</v>
      </c>
      <c r="AB66" s="5"/>
      <c r="AC66" s="6" t="s">
        <v>60</v>
      </c>
      <c r="AD66" s="6" t="s">
        <v>812</v>
      </c>
      <c r="AE66" s="6" t="s">
        <v>148</v>
      </c>
      <c r="AF66" s="6" t="s">
        <v>63</v>
      </c>
      <c r="AG66" s="5" t="s">
        <v>813</v>
      </c>
    </row>
    <row r="67" customFormat="false" ht="57.45" hidden="false" customHeight="false" outlineLevel="0" collapsed="false">
      <c r="A67" s="5" t="s">
        <v>814</v>
      </c>
      <c r="B67" s="5" t="s">
        <v>804</v>
      </c>
      <c r="C67" s="6" t="s">
        <v>792</v>
      </c>
      <c r="D67" s="6" t="s">
        <v>36</v>
      </c>
      <c r="E67" s="5" t="s">
        <v>37</v>
      </c>
      <c r="F67" s="6" t="s">
        <v>104</v>
      </c>
      <c r="G67" s="5" t="s">
        <v>214</v>
      </c>
      <c r="H67" s="5" t="s">
        <v>704</v>
      </c>
      <c r="I67" s="5" t="s">
        <v>815</v>
      </c>
      <c r="J67" s="5" t="s">
        <v>816</v>
      </c>
      <c r="K67" s="6" t="s">
        <v>216</v>
      </c>
      <c r="L67" s="5" t="s">
        <v>817</v>
      </c>
      <c r="M67" s="6" t="s">
        <v>818</v>
      </c>
      <c r="N67" s="5" t="s">
        <v>142</v>
      </c>
      <c r="O67" s="7"/>
      <c r="P67" s="5" t="s">
        <v>819</v>
      </c>
      <c r="Q67" s="5" t="s">
        <v>48</v>
      </c>
      <c r="R67" s="6" t="s">
        <v>49</v>
      </c>
      <c r="S67" s="6" t="s">
        <v>130</v>
      </c>
      <c r="T67" s="5"/>
      <c r="U67" s="5" t="s">
        <v>52</v>
      </c>
      <c r="V67" s="5" t="s">
        <v>506</v>
      </c>
      <c r="W67" s="5" t="s">
        <v>48</v>
      </c>
      <c r="X67" s="5" t="s">
        <v>820</v>
      </c>
      <c r="Y67" s="6" t="s">
        <v>95</v>
      </c>
      <c r="Z67" s="6" t="s">
        <v>821</v>
      </c>
      <c r="AA67" s="5" t="s">
        <v>822</v>
      </c>
      <c r="AB67" s="5"/>
      <c r="AC67" s="6" t="s">
        <v>60</v>
      </c>
      <c r="AD67" s="6" t="s">
        <v>812</v>
      </c>
      <c r="AE67" s="6" t="s">
        <v>148</v>
      </c>
      <c r="AF67" s="6" t="s">
        <v>63</v>
      </c>
      <c r="AG67" s="5"/>
    </row>
    <row r="68" customFormat="false" ht="68.65" hidden="false" customHeight="false" outlineLevel="0" collapsed="false">
      <c r="A68" s="5" t="s">
        <v>823</v>
      </c>
      <c r="B68" s="5" t="s">
        <v>824</v>
      </c>
      <c r="C68" s="6" t="s">
        <v>792</v>
      </c>
      <c r="D68" s="6" t="s">
        <v>36</v>
      </c>
      <c r="E68" s="5" t="s">
        <v>37</v>
      </c>
      <c r="F68" s="6" t="s">
        <v>104</v>
      </c>
      <c r="G68" s="5" t="s">
        <v>214</v>
      </c>
      <c r="H68" s="5" t="s">
        <v>228</v>
      </c>
      <c r="I68" s="5" t="s">
        <v>825</v>
      </c>
      <c r="J68" s="5" t="s">
        <v>826</v>
      </c>
      <c r="K68" s="6" t="s">
        <v>216</v>
      </c>
      <c r="L68" s="5" t="s">
        <v>827</v>
      </c>
      <c r="M68" s="6" t="s">
        <v>828</v>
      </c>
      <c r="N68" s="5" t="s">
        <v>142</v>
      </c>
      <c r="O68" s="7"/>
      <c r="P68" s="5" t="s">
        <v>829</v>
      </c>
      <c r="Q68" s="5" t="s">
        <v>48</v>
      </c>
      <c r="R68" s="6" t="s">
        <v>49</v>
      </c>
      <c r="S68" s="6" t="s">
        <v>50</v>
      </c>
      <c r="T68" s="5" t="s">
        <v>830</v>
      </c>
      <c r="U68" s="5" t="s">
        <v>52</v>
      </c>
      <c r="V68" s="5" t="s">
        <v>831</v>
      </c>
      <c r="W68" s="5" t="s">
        <v>48</v>
      </c>
      <c r="X68" s="5" t="s">
        <v>832</v>
      </c>
      <c r="Y68" s="6" t="s">
        <v>79</v>
      </c>
      <c r="Z68" s="6" t="s">
        <v>821</v>
      </c>
      <c r="AA68" s="5" t="s">
        <v>833</v>
      </c>
      <c r="AB68" s="5"/>
      <c r="AC68" s="6" t="s">
        <v>60</v>
      </c>
      <c r="AD68" s="6" t="s">
        <v>834</v>
      </c>
      <c r="AE68" s="6" t="s">
        <v>148</v>
      </c>
      <c r="AF68" s="6" t="s">
        <v>63</v>
      </c>
      <c r="AG68" s="5"/>
    </row>
    <row r="69" customFormat="false" ht="147" hidden="false" customHeight="false" outlineLevel="0" collapsed="false">
      <c r="A69" s="5" t="s">
        <v>835</v>
      </c>
      <c r="B69" s="5" t="s">
        <v>824</v>
      </c>
      <c r="C69" s="6" t="s">
        <v>792</v>
      </c>
      <c r="D69" s="6" t="s">
        <v>36</v>
      </c>
      <c r="E69" s="5" t="s">
        <v>836</v>
      </c>
      <c r="F69" s="6" t="s">
        <v>201</v>
      </c>
      <c r="G69" s="5" t="s">
        <v>837</v>
      </c>
      <c r="H69" s="5" t="s">
        <v>228</v>
      </c>
      <c r="I69" s="5" t="s">
        <v>838</v>
      </c>
      <c r="J69" s="5" t="s">
        <v>839</v>
      </c>
      <c r="K69" s="6" t="s">
        <v>126</v>
      </c>
      <c r="L69" s="5" t="s">
        <v>840</v>
      </c>
      <c r="M69" s="6" t="s">
        <v>841</v>
      </c>
      <c r="N69" s="5" t="s">
        <v>142</v>
      </c>
      <c r="O69" s="7" t="n">
        <v>3</v>
      </c>
      <c r="P69" s="5" t="s">
        <v>842</v>
      </c>
      <c r="Q69" s="5" t="s">
        <v>48</v>
      </c>
      <c r="R69" s="6" t="s">
        <v>49</v>
      </c>
      <c r="S69" s="6" t="s">
        <v>50</v>
      </c>
      <c r="T69" s="5" t="s">
        <v>843</v>
      </c>
      <c r="U69" s="5" t="s">
        <v>52</v>
      </c>
      <c r="V69" s="5" t="s">
        <v>844</v>
      </c>
      <c r="W69" s="5" t="s">
        <v>48</v>
      </c>
      <c r="X69" s="5" t="s">
        <v>845</v>
      </c>
      <c r="Y69" s="6" t="s">
        <v>79</v>
      </c>
      <c r="Z69" s="6" t="s">
        <v>821</v>
      </c>
      <c r="AA69" s="5" t="s">
        <v>846</v>
      </c>
      <c r="AB69" s="5"/>
      <c r="AC69" s="6" t="s">
        <v>60</v>
      </c>
      <c r="AD69" s="6" t="s">
        <v>847</v>
      </c>
      <c r="AE69" s="6" t="s">
        <v>62</v>
      </c>
      <c r="AF69" s="6" t="s">
        <v>63</v>
      </c>
      <c r="AG69" s="5" t="s">
        <v>848</v>
      </c>
    </row>
    <row r="70" customFormat="false" ht="102.2" hidden="false" customHeight="false" outlineLevel="0" collapsed="false">
      <c r="A70" s="5" t="s">
        <v>849</v>
      </c>
      <c r="B70" s="5" t="s">
        <v>824</v>
      </c>
      <c r="C70" s="6" t="s">
        <v>792</v>
      </c>
      <c r="D70" s="6" t="s">
        <v>36</v>
      </c>
      <c r="E70" s="5" t="s">
        <v>37</v>
      </c>
      <c r="F70" s="6" t="s">
        <v>104</v>
      </c>
      <c r="G70" s="5" t="s">
        <v>214</v>
      </c>
      <c r="H70" s="5" t="s">
        <v>228</v>
      </c>
      <c r="I70" s="5" t="s">
        <v>850</v>
      </c>
      <c r="J70" s="5" t="s">
        <v>851</v>
      </c>
      <c r="K70" s="6" t="s">
        <v>216</v>
      </c>
      <c r="L70" s="5" t="s">
        <v>852</v>
      </c>
      <c r="M70" s="6" t="s">
        <v>853</v>
      </c>
      <c r="N70" s="5" t="s">
        <v>142</v>
      </c>
      <c r="O70" s="7"/>
      <c r="P70" s="5" t="s">
        <v>854</v>
      </c>
      <c r="Q70" s="5" t="s">
        <v>48</v>
      </c>
      <c r="R70" s="6" t="s">
        <v>49</v>
      </c>
      <c r="S70" s="6" t="s">
        <v>50</v>
      </c>
      <c r="T70" s="5" t="s">
        <v>855</v>
      </c>
      <c r="U70" s="5" t="s">
        <v>52</v>
      </c>
      <c r="V70" s="5" t="s">
        <v>831</v>
      </c>
      <c r="W70" s="5" t="s">
        <v>48</v>
      </c>
      <c r="X70" s="5" t="s">
        <v>856</v>
      </c>
      <c r="Y70" s="6" t="s">
        <v>79</v>
      </c>
      <c r="Z70" s="6" t="s">
        <v>821</v>
      </c>
      <c r="AA70" s="5" t="s">
        <v>857</v>
      </c>
      <c r="AB70" s="5"/>
      <c r="AC70" s="6" t="s">
        <v>60</v>
      </c>
      <c r="AD70" s="6" t="s">
        <v>858</v>
      </c>
      <c r="AE70" s="6" t="s">
        <v>148</v>
      </c>
      <c r="AF70" s="6" t="s">
        <v>63</v>
      </c>
      <c r="AG70" s="5"/>
    </row>
    <row r="71" customFormat="false" ht="57.45" hidden="false" customHeight="false" outlineLevel="0" collapsed="false">
      <c r="A71" s="5" t="s">
        <v>859</v>
      </c>
      <c r="B71" s="5" t="s">
        <v>824</v>
      </c>
      <c r="C71" s="6" t="s">
        <v>792</v>
      </c>
      <c r="D71" s="6" t="s">
        <v>36</v>
      </c>
      <c r="E71" s="5" t="s">
        <v>37</v>
      </c>
      <c r="F71" s="6" t="s">
        <v>104</v>
      </c>
      <c r="G71" s="5" t="s">
        <v>214</v>
      </c>
      <c r="H71" s="5" t="s">
        <v>228</v>
      </c>
      <c r="I71" s="5" t="s">
        <v>860</v>
      </c>
      <c r="J71" s="5" t="s">
        <v>861</v>
      </c>
      <c r="K71" s="6" t="s">
        <v>216</v>
      </c>
      <c r="L71" s="5" t="s">
        <v>862</v>
      </c>
      <c r="M71" s="6" t="s">
        <v>863</v>
      </c>
      <c r="N71" s="5" t="s">
        <v>142</v>
      </c>
      <c r="O71" s="7"/>
      <c r="P71" s="5" t="s">
        <v>864</v>
      </c>
      <c r="Q71" s="5" t="s">
        <v>48</v>
      </c>
      <c r="R71" s="6" t="s">
        <v>49</v>
      </c>
      <c r="S71" s="6" t="s">
        <v>50</v>
      </c>
      <c r="T71" s="5" t="s">
        <v>865</v>
      </c>
      <c r="U71" s="5" t="s">
        <v>52</v>
      </c>
      <c r="V71" s="5" t="s">
        <v>831</v>
      </c>
      <c r="W71" s="5" t="s">
        <v>48</v>
      </c>
      <c r="X71" s="5" t="s">
        <v>866</v>
      </c>
      <c r="Y71" s="6" t="s">
        <v>79</v>
      </c>
      <c r="Z71" s="6" t="s">
        <v>821</v>
      </c>
      <c r="AA71" s="5" t="s">
        <v>867</v>
      </c>
      <c r="AB71" s="5"/>
      <c r="AC71" s="6" t="s">
        <v>60</v>
      </c>
      <c r="AD71" s="6" t="s">
        <v>868</v>
      </c>
      <c r="AE71" s="6" t="s">
        <v>148</v>
      </c>
      <c r="AF71" s="6" t="s">
        <v>63</v>
      </c>
      <c r="AG71" s="5"/>
    </row>
    <row r="72" customFormat="false" ht="102.2" hidden="false" customHeight="false" outlineLevel="0" collapsed="false">
      <c r="A72" s="5" t="s">
        <v>869</v>
      </c>
      <c r="B72" s="5" t="s">
        <v>870</v>
      </c>
      <c r="C72" s="6" t="s">
        <v>792</v>
      </c>
      <c r="D72" s="6" t="s">
        <v>36</v>
      </c>
      <c r="E72" s="5" t="s">
        <v>37</v>
      </c>
      <c r="F72" s="6" t="s">
        <v>871</v>
      </c>
      <c r="G72" s="5" t="s">
        <v>214</v>
      </c>
      <c r="H72" s="5" t="s">
        <v>513</v>
      </c>
      <c r="I72" s="5" t="s">
        <v>872</v>
      </c>
      <c r="J72" s="5" t="s">
        <v>873</v>
      </c>
      <c r="K72" s="6" t="s">
        <v>108</v>
      </c>
      <c r="L72" s="5" t="s">
        <v>874</v>
      </c>
      <c r="M72" s="6" t="s">
        <v>875</v>
      </c>
      <c r="N72" s="5" t="s">
        <v>181</v>
      </c>
      <c r="O72" s="7"/>
      <c r="P72" s="5" t="s">
        <v>876</v>
      </c>
      <c r="Q72" s="5" t="s">
        <v>48</v>
      </c>
      <c r="R72" s="6" t="s">
        <v>49</v>
      </c>
      <c r="S72" s="6" t="s">
        <v>50</v>
      </c>
      <c r="T72" s="5" t="s">
        <v>877</v>
      </c>
      <c r="U72" s="5" t="s">
        <v>52</v>
      </c>
      <c r="V72" s="5" t="s">
        <v>57</v>
      </c>
      <c r="W72" s="5" t="s">
        <v>48</v>
      </c>
      <c r="X72" s="5" t="s">
        <v>878</v>
      </c>
      <c r="Y72" s="6" t="s">
        <v>56</v>
      </c>
      <c r="Z72" s="6" t="s">
        <v>879</v>
      </c>
      <c r="AA72" s="5" t="s">
        <v>880</v>
      </c>
      <c r="AB72" s="5"/>
      <c r="AC72" s="6" t="s">
        <v>98</v>
      </c>
      <c r="AD72" s="6" t="s">
        <v>881</v>
      </c>
      <c r="AE72" s="6" t="s">
        <v>148</v>
      </c>
      <c r="AF72" s="6" t="s">
        <v>63</v>
      </c>
      <c r="AG72" s="5" t="s">
        <v>882</v>
      </c>
    </row>
    <row r="73" customFormat="false" ht="68.65" hidden="false" customHeight="false" outlineLevel="0" collapsed="false">
      <c r="A73" s="5" t="s">
        <v>883</v>
      </c>
      <c r="B73" s="5" t="s">
        <v>870</v>
      </c>
      <c r="C73" s="6" t="s">
        <v>792</v>
      </c>
      <c r="D73" s="6" t="s">
        <v>36</v>
      </c>
      <c r="E73" s="5" t="s">
        <v>103</v>
      </c>
      <c r="F73" s="6" t="s">
        <v>104</v>
      </c>
      <c r="G73" s="5" t="s">
        <v>105</v>
      </c>
      <c r="H73" s="5" t="s">
        <v>884</v>
      </c>
      <c r="I73" s="5" t="s">
        <v>885</v>
      </c>
      <c r="J73" s="5" t="s">
        <v>886</v>
      </c>
      <c r="K73" s="6" t="s">
        <v>108</v>
      </c>
      <c r="L73" s="5" t="s">
        <v>887</v>
      </c>
      <c r="M73" s="6" t="s">
        <v>888</v>
      </c>
      <c r="N73" s="5" t="s">
        <v>46</v>
      </c>
      <c r="O73" s="7"/>
      <c r="P73" s="5" t="s">
        <v>889</v>
      </c>
      <c r="Q73" s="5" t="s">
        <v>48</v>
      </c>
      <c r="R73" s="6" t="s">
        <v>49</v>
      </c>
      <c r="S73" s="6" t="s">
        <v>50</v>
      </c>
      <c r="T73" s="5" t="s">
        <v>890</v>
      </c>
      <c r="U73" s="5" t="s">
        <v>891</v>
      </c>
      <c r="V73" s="5" t="s">
        <v>892</v>
      </c>
      <c r="W73" s="5" t="s">
        <v>54</v>
      </c>
      <c r="X73" s="5" t="s">
        <v>893</v>
      </c>
      <c r="Y73" s="6" t="s">
        <v>79</v>
      </c>
      <c r="Z73" s="6" t="s">
        <v>894</v>
      </c>
      <c r="AA73" s="5" t="s">
        <v>895</v>
      </c>
      <c r="AB73" s="5"/>
      <c r="AC73" s="6" t="s">
        <v>60</v>
      </c>
      <c r="AD73" s="6" t="s">
        <v>896</v>
      </c>
      <c r="AE73" s="6" t="s">
        <v>148</v>
      </c>
      <c r="AF73" s="6" t="s">
        <v>63</v>
      </c>
      <c r="AG73" s="5" t="s">
        <v>897</v>
      </c>
    </row>
    <row r="74" customFormat="false" ht="102.2" hidden="false" customHeight="false" outlineLevel="0" collapsed="false">
      <c r="A74" s="5" t="s">
        <v>898</v>
      </c>
      <c r="B74" s="5" t="s">
        <v>870</v>
      </c>
      <c r="C74" s="6" t="s">
        <v>792</v>
      </c>
      <c r="D74" s="6" t="s">
        <v>36</v>
      </c>
      <c r="E74" s="5" t="s">
        <v>103</v>
      </c>
      <c r="F74" s="6" t="s">
        <v>104</v>
      </c>
      <c r="G74" s="5" t="s">
        <v>105</v>
      </c>
      <c r="H74" s="5" t="s">
        <v>884</v>
      </c>
      <c r="I74" s="5" t="s">
        <v>899</v>
      </c>
      <c r="J74" s="5" t="s">
        <v>900</v>
      </c>
      <c r="K74" s="6" t="s">
        <v>108</v>
      </c>
      <c r="L74" s="5" t="s">
        <v>901</v>
      </c>
      <c r="M74" s="6" t="s">
        <v>902</v>
      </c>
      <c r="N74" s="5" t="s">
        <v>46</v>
      </c>
      <c r="O74" s="7"/>
      <c r="P74" s="5" t="s">
        <v>903</v>
      </c>
      <c r="Q74" s="5" t="s">
        <v>48</v>
      </c>
      <c r="R74" s="6" t="s">
        <v>49</v>
      </c>
      <c r="S74" s="6" t="s">
        <v>50</v>
      </c>
      <c r="T74" s="5" t="s">
        <v>904</v>
      </c>
      <c r="U74" s="5" t="s">
        <v>52</v>
      </c>
      <c r="V74" s="5" t="s">
        <v>905</v>
      </c>
      <c r="W74" s="5" t="s">
        <v>54</v>
      </c>
      <c r="X74" s="5" t="s">
        <v>906</v>
      </c>
      <c r="Y74" s="6" t="s">
        <v>79</v>
      </c>
      <c r="Z74" s="6" t="s">
        <v>907</v>
      </c>
      <c r="AA74" s="5" t="s">
        <v>908</v>
      </c>
      <c r="AB74" s="5"/>
      <c r="AC74" s="6" t="s">
        <v>60</v>
      </c>
      <c r="AD74" s="6" t="s">
        <v>909</v>
      </c>
      <c r="AE74" s="6" t="s">
        <v>148</v>
      </c>
      <c r="AF74" s="6" t="s">
        <v>63</v>
      </c>
      <c r="AG74" s="5" t="s">
        <v>910</v>
      </c>
    </row>
    <row r="75" customFormat="false" ht="102.2" hidden="false" customHeight="false" outlineLevel="0" collapsed="false">
      <c r="A75" s="5" t="s">
        <v>911</v>
      </c>
      <c r="B75" s="5" t="s">
        <v>912</v>
      </c>
      <c r="C75" s="6" t="s">
        <v>792</v>
      </c>
      <c r="D75" s="6" t="s">
        <v>36</v>
      </c>
      <c r="E75" s="5" t="s">
        <v>37</v>
      </c>
      <c r="F75" s="6" t="s">
        <v>104</v>
      </c>
      <c r="G75" s="5" t="s">
        <v>214</v>
      </c>
      <c r="H75" s="5" t="s">
        <v>913</v>
      </c>
      <c r="I75" s="5" t="s">
        <v>914</v>
      </c>
      <c r="J75" s="5" t="s">
        <v>915</v>
      </c>
      <c r="K75" s="6" t="s">
        <v>216</v>
      </c>
      <c r="L75" s="5" t="s">
        <v>916</v>
      </c>
      <c r="M75" s="6" t="s">
        <v>917</v>
      </c>
      <c r="N75" s="5" t="s">
        <v>181</v>
      </c>
      <c r="O75" s="7"/>
      <c r="P75" s="5" t="s">
        <v>918</v>
      </c>
      <c r="Q75" s="5" t="s">
        <v>48</v>
      </c>
      <c r="R75" s="6" t="s">
        <v>49</v>
      </c>
      <c r="S75" s="6" t="s">
        <v>50</v>
      </c>
      <c r="T75" s="5" t="s">
        <v>919</v>
      </c>
      <c r="U75" s="5" t="s">
        <v>52</v>
      </c>
      <c r="V75" s="5" t="s">
        <v>57</v>
      </c>
      <c r="W75" s="5" t="s">
        <v>48</v>
      </c>
      <c r="X75" s="5" t="s">
        <v>920</v>
      </c>
      <c r="Y75" s="6" t="s">
        <v>95</v>
      </c>
      <c r="Z75" s="6" t="s">
        <v>821</v>
      </c>
      <c r="AA75" s="5" t="s">
        <v>921</v>
      </c>
      <c r="AB75" s="5"/>
      <c r="AC75" s="6" t="s">
        <v>98</v>
      </c>
      <c r="AD75" s="6" t="s">
        <v>922</v>
      </c>
      <c r="AE75" s="6" t="s">
        <v>62</v>
      </c>
      <c r="AF75" s="6" t="s">
        <v>63</v>
      </c>
      <c r="AG75" s="5"/>
    </row>
    <row r="76" customFormat="false" ht="91" hidden="false" customHeight="false" outlineLevel="0" collapsed="false">
      <c r="A76" s="5" t="s">
        <v>923</v>
      </c>
      <c r="B76" s="5" t="s">
        <v>924</v>
      </c>
      <c r="C76" s="6" t="s">
        <v>792</v>
      </c>
      <c r="D76" s="6" t="s">
        <v>36</v>
      </c>
      <c r="E76" s="5" t="s">
        <v>37</v>
      </c>
      <c r="F76" s="6" t="s">
        <v>871</v>
      </c>
      <c r="G76" s="5" t="s">
        <v>214</v>
      </c>
      <c r="H76" s="5" t="s">
        <v>925</v>
      </c>
      <c r="I76" s="5" t="s">
        <v>926</v>
      </c>
      <c r="J76" s="5" t="s">
        <v>927</v>
      </c>
      <c r="K76" s="6" t="s">
        <v>108</v>
      </c>
      <c r="L76" s="5" t="s">
        <v>928</v>
      </c>
      <c r="M76" s="6" t="s">
        <v>929</v>
      </c>
      <c r="N76" s="5" t="s">
        <v>181</v>
      </c>
      <c r="O76" s="7"/>
      <c r="P76" s="5" t="s">
        <v>930</v>
      </c>
      <c r="Q76" s="5" t="s">
        <v>48</v>
      </c>
      <c r="R76" s="6" t="s">
        <v>49</v>
      </c>
      <c r="S76" s="6" t="s">
        <v>50</v>
      </c>
      <c r="T76" s="5" t="s">
        <v>931</v>
      </c>
      <c r="U76" s="5" t="s">
        <v>52</v>
      </c>
      <c r="V76" s="5" t="s">
        <v>57</v>
      </c>
      <c r="W76" s="5" t="s">
        <v>48</v>
      </c>
      <c r="X76" s="5" t="s">
        <v>932</v>
      </c>
      <c r="Y76" s="6" t="s">
        <v>56</v>
      </c>
      <c r="Z76" s="6" t="s">
        <v>879</v>
      </c>
      <c r="AA76" s="5" t="s">
        <v>933</v>
      </c>
      <c r="AB76" s="5"/>
      <c r="AC76" s="6" t="s">
        <v>98</v>
      </c>
      <c r="AD76" s="6" t="s">
        <v>934</v>
      </c>
      <c r="AE76" s="6" t="s">
        <v>62</v>
      </c>
      <c r="AF76" s="6" t="s">
        <v>63</v>
      </c>
      <c r="AG76" s="5"/>
    </row>
    <row r="77" customFormat="false" ht="68.65" hidden="false" customHeight="false" outlineLevel="0" collapsed="false">
      <c r="A77" s="5" t="s">
        <v>935</v>
      </c>
      <c r="B77" s="5" t="s">
        <v>936</v>
      </c>
      <c r="C77" s="6" t="s">
        <v>792</v>
      </c>
      <c r="D77" s="6" t="s">
        <v>36</v>
      </c>
      <c r="E77" s="5" t="s">
        <v>103</v>
      </c>
      <c r="F77" s="6" t="s">
        <v>104</v>
      </c>
      <c r="G77" s="5" t="s">
        <v>105</v>
      </c>
      <c r="H77" s="5" t="s">
        <v>704</v>
      </c>
      <c r="I77" s="5" t="s">
        <v>937</v>
      </c>
      <c r="J77" s="5" t="s">
        <v>938</v>
      </c>
      <c r="K77" s="6" t="s">
        <v>216</v>
      </c>
      <c r="L77" s="5" t="s">
        <v>939</v>
      </c>
      <c r="M77" s="6" t="s">
        <v>940</v>
      </c>
      <c r="N77" s="5" t="s">
        <v>74</v>
      </c>
      <c r="O77" s="7" t="n">
        <v>7</v>
      </c>
      <c r="P77" s="5" t="s">
        <v>941</v>
      </c>
      <c r="Q77" s="5" t="s">
        <v>48</v>
      </c>
      <c r="R77" s="6" t="s">
        <v>49</v>
      </c>
      <c r="S77" s="6" t="s">
        <v>130</v>
      </c>
      <c r="T77" s="5"/>
      <c r="U77" s="5" t="s">
        <v>52</v>
      </c>
      <c r="V77" s="5" t="s">
        <v>942</v>
      </c>
      <c r="W77" s="5" t="s">
        <v>54</v>
      </c>
      <c r="X77" s="5" t="s">
        <v>943</v>
      </c>
      <c r="Y77" s="6" t="s">
        <v>79</v>
      </c>
      <c r="Z77" s="6" t="s">
        <v>800</v>
      </c>
      <c r="AA77" s="5" t="s">
        <v>944</v>
      </c>
      <c r="AB77" s="5"/>
      <c r="AC77" s="6" t="s">
        <v>60</v>
      </c>
      <c r="AD77" s="6" t="s">
        <v>945</v>
      </c>
      <c r="AE77" s="6" t="s">
        <v>148</v>
      </c>
      <c r="AF77" s="6" t="s">
        <v>63</v>
      </c>
      <c r="AG77" s="5"/>
    </row>
    <row r="78" customFormat="false" ht="79.85" hidden="false" customHeight="false" outlineLevel="0" collapsed="false">
      <c r="A78" s="5" t="s">
        <v>946</v>
      </c>
      <c r="B78" s="5" t="s">
        <v>947</v>
      </c>
      <c r="C78" s="6" t="s">
        <v>792</v>
      </c>
      <c r="D78" s="6" t="s">
        <v>36</v>
      </c>
      <c r="E78" s="5" t="s">
        <v>37</v>
      </c>
      <c r="F78" s="6" t="s">
        <v>104</v>
      </c>
      <c r="G78" s="5" t="s">
        <v>214</v>
      </c>
      <c r="H78" s="5" t="s">
        <v>513</v>
      </c>
      <c r="I78" s="5" t="s">
        <v>948</v>
      </c>
      <c r="J78" s="5" t="s">
        <v>949</v>
      </c>
      <c r="K78" s="6" t="s">
        <v>216</v>
      </c>
      <c r="L78" s="5" t="s">
        <v>950</v>
      </c>
      <c r="M78" s="6" t="s">
        <v>951</v>
      </c>
      <c r="N78" s="5" t="s">
        <v>46</v>
      </c>
      <c r="O78" s="7"/>
      <c r="P78" s="5" t="s">
        <v>952</v>
      </c>
      <c r="Q78" s="5" t="s">
        <v>48</v>
      </c>
      <c r="R78" s="6" t="s">
        <v>49</v>
      </c>
      <c r="S78" s="6" t="s">
        <v>50</v>
      </c>
      <c r="T78" s="5" t="s">
        <v>953</v>
      </c>
      <c r="U78" s="5" t="s">
        <v>52</v>
      </c>
      <c r="V78" s="5" t="s">
        <v>506</v>
      </c>
      <c r="W78" s="5" t="s">
        <v>54</v>
      </c>
      <c r="X78" s="5" t="s">
        <v>954</v>
      </c>
      <c r="Y78" s="6" t="s">
        <v>79</v>
      </c>
      <c r="Z78" s="6" t="s">
        <v>800</v>
      </c>
      <c r="AA78" s="5" t="s">
        <v>955</v>
      </c>
      <c r="AB78" s="5"/>
      <c r="AC78" s="6" t="s">
        <v>60</v>
      </c>
      <c r="AD78" s="6" t="s">
        <v>956</v>
      </c>
      <c r="AE78" s="6" t="s">
        <v>148</v>
      </c>
      <c r="AF78" s="6" t="s">
        <v>63</v>
      </c>
      <c r="AG78" s="5" t="s">
        <v>957</v>
      </c>
    </row>
    <row r="79" customFormat="false" ht="102.2" hidden="false" customHeight="false" outlineLevel="0" collapsed="false">
      <c r="A79" s="5" t="s">
        <v>958</v>
      </c>
      <c r="B79" s="5" t="s">
        <v>947</v>
      </c>
      <c r="C79" s="6" t="s">
        <v>792</v>
      </c>
      <c r="D79" s="6" t="s">
        <v>36</v>
      </c>
      <c r="E79" s="5" t="s">
        <v>120</v>
      </c>
      <c r="F79" s="6" t="s">
        <v>121</v>
      </c>
      <c r="G79" s="5" t="s">
        <v>175</v>
      </c>
      <c r="H79" s="5" t="s">
        <v>704</v>
      </c>
      <c r="I79" s="5" t="s">
        <v>959</v>
      </c>
      <c r="J79" s="5" t="s">
        <v>960</v>
      </c>
      <c r="K79" s="6" t="s">
        <v>126</v>
      </c>
      <c r="L79" s="5" t="s">
        <v>961</v>
      </c>
      <c r="M79" s="6" t="s">
        <v>962</v>
      </c>
      <c r="N79" s="5" t="s">
        <v>74</v>
      </c>
      <c r="O79" s="7"/>
      <c r="P79" s="5" t="s">
        <v>963</v>
      </c>
      <c r="Q79" s="5" t="s">
        <v>48</v>
      </c>
      <c r="R79" s="6" t="s">
        <v>49</v>
      </c>
      <c r="S79" s="6" t="s">
        <v>130</v>
      </c>
      <c r="T79" s="5"/>
      <c r="U79" s="5" t="s">
        <v>52</v>
      </c>
      <c r="V79" s="5" t="s">
        <v>964</v>
      </c>
      <c r="W79" s="5" t="s">
        <v>54</v>
      </c>
      <c r="X79" s="5" t="s">
        <v>965</v>
      </c>
      <c r="Y79" s="6" t="s">
        <v>79</v>
      </c>
      <c r="Z79" s="6" t="s">
        <v>800</v>
      </c>
      <c r="AA79" s="5" t="s">
        <v>966</v>
      </c>
      <c r="AB79" s="5"/>
      <c r="AC79" s="6" t="s">
        <v>60</v>
      </c>
      <c r="AD79" s="6" t="s">
        <v>967</v>
      </c>
      <c r="AE79" s="6" t="s">
        <v>148</v>
      </c>
      <c r="AF79" s="6" t="s">
        <v>63</v>
      </c>
      <c r="AG79" s="5" t="s">
        <v>968</v>
      </c>
    </row>
    <row r="80" customFormat="false" ht="113.4" hidden="false" customHeight="false" outlineLevel="0" collapsed="false">
      <c r="A80" s="5" t="s">
        <v>969</v>
      </c>
      <c r="B80" s="5" t="s">
        <v>947</v>
      </c>
      <c r="C80" s="6" t="s">
        <v>792</v>
      </c>
      <c r="D80" s="6" t="s">
        <v>36</v>
      </c>
      <c r="E80" s="5" t="s">
        <v>103</v>
      </c>
      <c r="F80" s="6" t="s">
        <v>970</v>
      </c>
      <c r="G80" s="5" t="s">
        <v>971</v>
      </c>
      <c r="H80" s="5" t="s">
        <v>513</v>
      </c>
      <c r="I80" s="5" t="s">
        <v>972</v>
      </c>
      <c r="J80" s="5" t="s">
        <v>973</v>
      </c>
      <c r="K80" s="6" t="s">
        <v>57</v>
      </c>
      <c r="L80" s="5" t="s">
        <v>974</v>
      </c>
      <c r="M80" s="6" t="s">
        <v>975</v>
      </c>
      <c r="N80" s="5" t="s">
        <v>74</v>
      </c>
      <c r="O80" s="7"/>
      <c r="P80" s="5" t="s">
        <v>976</v>
      </c>
      <c r="Q80" s="5" t="s">
        <v>48</v>
      </c>
      <c r="R80" s="6" t="s">
        <v>49</v>
      </c>
      <c r="S80" s="6" t="s">
        <v>130</v>
      </c>
      <c r="T80" s="5"/>
      <c r="U80" s="5" t="s">
        <v>891</v>
      </c>
      <c r="V80" s="5" t="s">
        <v>49</v>
      </c>
      <c r="W80" s="5" t="s">
        <v>48</v>
      </c>
      <c r="X80" s="5" t="s">
        <v>977</v>
      </c>
      <c r="Y80" s="6" t="s">
        <v>56</v>
      </c>
      <c r="Z80" s="6" t="s">
        <v>978</v>
      </c>
      <c r="AA80" s="5" t="s">
        <v>979</v>
      </c>
      <c r="AB80" s="5"/>
      <c r="AC80" s="6" t="s">
        <v>60</v>
      </c>
      <c r="AD80" s="6" t="s">
        <v>980</v>
      </c>
      <c r="AE80" s="6" t="s">
        <v>62</v>
      </c>
      <c r="AF80" s="6" t="s">
        <v>63</v>
      </c>
      <c r="AG80" s="5" t="s">
        <v>981</v>
      </c>
    </row>
    <row r="81" customFormat="false" ht="79.85" hidden="false" customHeight="false" outlineLevel="0" collapsed="false">
      <c r="A81" s="5" t="s">
        <v>982</v>
      </c>
      <c r="B81" s="5" t="s">
        <v>947</v>
      </c>
      <c r="C81" s="6" t="s">
        <v>792</v>
      </c>
      <c r="D81" s="6" t="s">
        <v>36</v>
      </c>
      <c r="E81" s="5" t="s">
        <v>470</v>
      </c>
      <c r="F81" s="6" t="s">
        <v>121</v>
      </c>
      <c r="G81" s="5" t="s">
        <v>214</v>
      </c>
      <c r="H81" s="5" t="s">
        <v>513</v>
      </c>
      <c r="I81" s="5" t="s">
        <v>983</v>
      </c>
      <c r="J81" s="5" t="s">
        <v>984</v>
      </c>
      <c r="K81" s="6" t="s">
        <v>108</v>
      </c>
      <c r="L81" s="5" t="s">
        <v>985</v>
      </c>
      <c r="M81" s="6" t="s">
        <v>986</v>
      </c>
      <c r="N81" s="5" t="s">
        <v>74</v>
      </c>
      <c r="O81" s="7"/>
      <c r="P81" s="5" t="s">
        <v>987</v>
      </c>
      <c r="Q81" s="5" t="s">
        <v>48</v>
      </c>
      <c r="R81" s="6" t="s">
        <v>49</v>
      </c>
      <c r="S81" s="6" t="s">
        <v>50</v>
      </c>
      <c r="T81" s="5" t="s">
        <v>988</v>
      </c>
      <c r="U81" s="5" t="s">
        <v>52</v>
      </c>
      <c r="V81" s="5" t="s">
        <v>506</v>
      </c>
      <c r="W81" s="5" t="s">
        <v>54</v>
      </c>
      <c r="X81" s="5" t="s">
        <v>989</v>
      </c>
      <c r="Y81" s="6" t="s">
        <v>79</v>
      </c>
      <c r="Z81" s="6" t="s">
        <v>990</v>
      </c>
      <c r="AA81" s="5" t="s">
        <v>991</v>
      </c>
      <c r="AB81" s="5"/>
      <c r="AC81" s="6" t="s">
        <v>60</v>
      </c>
      <c r="AD81" s="6" t="s">
        <v>992</v>
      </c>
      <c r="AE81" s="6" t="s">
        <v>148</v>
      </c>
      <c r="AF81" s="6" t="s">
        <v>63</v>
      </c>
      <c r="AG81" s="5" t="s">
        <v>993</v>
      </c>
    </row>
    <row r="82" customFormat="false" ht="102.2" hidden="false" customHeight="false" outlineLevel="0" collapsed="false">
      <c r="A82" s="8" t="s">
        <v>994</v>
      </c>
      <c r="B82" s="8" t="s">
        <v>995</v>
      </c>
      <c r="C82" s="9" t="s">
        <v>996</v>
      </c>
      <c r="D82" s="9" t="s">
        <v>36</v>
      </c>
      <c r="E82" s="8" t="s">
        <v>37</v>
      </c>
      <c r="F82" s="9" t="s">
        <v>104</v>
      </c>
      <c r="G82" s="8" t="s">
        <v>214</v>
      </c>
      <c r="H82" s="8" t="s">
        <v>997</v>
      </c>
      <c r="I82" s="8" t="s">
        <v>998</v>
      </c>
      <c r="J82" s="8" t="s">
        <v>999</v>
      </c>
      <c r="K82" s="9" t="s">
        <v>216</v>
      </c>
      <c r="L82" s="8" t="s">
        <v>1000</v>
      </c>
      <c r="M82" s="9" t="s">
        <v>1001</v>
      </c>
      <c r="N82" s="8" t="s">
        <v>46</v>
      </c>
      <c r="O82" s="10"/>
      <c r="P82" s="8"/>
      <c r="Q82" s="8" t="s">
        <v>48</v>
      </c>
      <c r="R82" s="9" t="s">
        <v>49</v>
      </c>
      <c r="S82" s="9" t="s">
        <v>50</v>
      </c>
      <c r="T82" s="8" t="s">
        <v>1002</v>
      </c>
      <c r="U82" s="8" t="s">
        <v>52</v>
      </c>
      <c r="V82" s="8" t="s">
        <v>1003</v>
      </c>
      <c r="W82" s="8" t="s">
        <v>54</v>
      </c>
      <c r="X82" s="8" t="s">
        <v>1004</v>
      </c>
      <c r="Y82" s="9" t="s">
        <v>95</v>
      </c>
      <c r="Z82" s="9" t="s">
        <v>1005</v>
      </c>
      <c r="AA82" s="8" t="s">
        <v>1006</v>
      </c>
      <c r="AB82" s="8"/>
      <c r="AC82" s="9" t="s">
        <v>60</v>
      </c>
      <c r="AD82" s="9" t="s">
        <v>1007</v>
      </c>
      <c r="AE82" s="9" t="s">
        <v>62</v>
      </c>
      <c r="AF82" s="9" t="s">
        <v>63</v>
      </c>
      <c r="AG82" s="8" t="s">
        <v>1008</v>
      </c>
    </row>
    <row r="83" customFormat="false" ht="113.4" hidden="false" customHeight="false" outlineLevel="0" collapsed="false">
      <c r="A83" s="8" t="s">
        <v>1009</v>
      </c>
      <c r="B83" s="8" t="s">
        <v>1010</v>
      </c>
      <c r="C83" s="9" t="s">
        <v>996</v>
      </c>
      <c r="D83" s="9" t="s">
        <v>36</v>
      </c>
      <c r="E83" s="8" t="s">
        <v>37</v>
      </c>
      <c r="F83" s="9" t="s">
        <v>104</v>
      </c>
      <c r="G83" s="8" t="s">
        <v>1011</v>
      </c>
      <c r="H83" s="8" t="s">
        <v>1012</v>
      </c>
      <c r="I83" s="8" t="s">
        <v>1013</v>
      </c>
      <c r="J83" s="8" t="s">
        <v>1014</v>
      </c>
      <c r="K83" s="9" t="s">
        <v>419</v>
      </c>
      <c r="L83" s="8" t="s">
        <v>1015</v>
      </c>
      <c r="M83" s="9" t="s">
        <v>1016</v>
      </c>
      <c r="N83" s="8" t="s">
        <v>46</v>
      </c>
      <c r="O83" s="10"/>
      <c r="P83" s="8"/>
      <c r="Q83" s="8" t="s">
        <v>48</v>
      </c>
      <c r="R83" s="9" t="s">
        <v>49</v>
      </c>
      <c r="S83" s="9" t="s">
        <v>50</v>
      </c>
      <c r="T83" s="8" t="s">
        <v>1017</v>
      </c>
      <c r="U83" s="8" t="s">
        <v>52</v>
      </c>
      <c r="V83" s="8" t="s">
        <v>506</v>
      </c>
      <c r="W83" s="8" t="s">
        <v>181</v>
      </c>
      <c r="X83" s="8" t="s">
        <v>1018</v>
      </c>
      <c r="Y83" s="9" t="s">
        <v>79</v>
      </c>
      <c r="Z83" s="9" t="s">
        <v>1019</v>
      </c>
      <c r="AA83" s="8" t="s">
        <v>1020</v>
      </c>
      <c r="AB83" s="8"/>
      <c r="AC83" s="9" t="s">
        <v>60</v>
      </c>
      <c r="AD83" s="9" t="s">
        <v>1021</v>
      </c>
      <c r="AE83" s="9" t="s">
        <v>148</v>
      </c>
      <c r="AF83" s="9" t="s">
        <v>63</v>
      </c>
      <c r="AG83" s="8" t="s">
        <v>1022</v>
      </c>
    </row>
    <row r="84" customFormat="false" ht="113.4" hidden="false" customHeight="false" outlineLevel="0" collapsed="false">
      <c r="A84" s="8" t="s">
        <v>1023</v>
      </c>
      <c r="B84" s="8" t="s">
        <v>1024</v>
      </c>
      <c r="C84" s="9" t="s">
        <v>996</v>
      </c>
      <c r="D84" s="9" t="s">
        <v>36</v>
      </c>
      <c r="E84" s="8" t="s">
        <v>37</v>
      </c>
      <c r="F84" s="9" t="s">
        <v>104</v>
      </c>
      <c r="G84" s="8" t="s">
        <v>1025</v>
      </c>
      <c r="H84" s="8" t="s">
        <v>1026</v>
      </c>
      <c r="I84" s="8" t="s">
        <v>1027</v>
      </c>
      <c r="J84" s="8" t="s">
        <v>1028</v>
      </c>
      <c r="K84" s="9" t="s">
        <v>57</v>
      </c>
      <c r="L84" s="8" t="s">
        <v>1029</v>
      </c>
      <c r="M84" s="9" t="s">
        <v>1030</v>
      </c>
      <c r="N84" s="8" t="s">
        <v>46</v>
      </c>
      <c r="O84" s="10"/>
      <c r="P84" s="8"/>
      <c r="Q84" s="8" t="s">
        <v>48</v>
      </c>
      <c r="R84" s="9" t="s">
        <v>49</v>
      </c>
      <c r="S84" s="9" t="s">
        <v>130</v>
      </c>
      <c r="T84" s="8" t="s">
        <v>1031</v>
      </c>
      <c r="U84" s="8" t="s">
        <v>52</v>
      </c>
      <c r="V84" s="8" t="s">
        <v>506</v>
      </c>
      <c r="W84" s="8" t="s">
        <v>317</v>
      </c>
      <c r="X84" s="8" t="s">
        <v>1032</v>
      </c>
      <c r="Y84" s="9" t="s">
        <v>79</v>
      </c>
      <c r="Z84" s="9" t="s">
        <v>1033</v>
      </c>
      <c r="AA84" s="8" t="s">
        <v>1034</v>
      </c>
      <c r="AB84" s="8"/>
      <c r="AC84" s="9" t="s">
        <v>60</v>
      </c>
      <c r="AD84" s="9" t="s">
        <v>1035</v>
      </c>
      <c r="AE84" s="9" t="s">
        <v>148</v>
      </c>
      <c r="AF84" s="9" t="s">
        <v>63</v>
      </c>
      <c r="AG84" s="8" t="s">
        <v>1036</v>
      </c>
    </row>
    <row r="85" customFormat="false" ht="124.6" hidden="false" customHeight="false" outlineLevel="0" collapsed="false">
      <c r="A85" s="8" t="s">
        <v>1037</v>
      </c>
      <c r="B85" s="8" t="s">
        <v>1038</v>
      </c>
      <c r="C85" s="9" t="s">
        <v>996</v>
      </c>
      <c r="D85" s="9" t="s">
        <v>36</v>
      </c>
      <c r="E85" s="8" t="s">
        <v>37</v>
      </c>
      <c r="F85" s="9" t="s">
        <v>121</v>
      </c>
      <c r="G85" s="8" t="s">
        <v>152</v>
      </c>
      <c r="H85" s="8" t="s">
        <v>1039</v>
      </c>
      <c r="I85" s="8" t="s">
        <v>1040</v>
      </c>
      <c r="J85" s="8" t="s">
        <v>1041</v>
      </c>
      <c r="K85" s="9" t="s">
        <v>57</v>
      </c>
      <c r="L85" s="8" t="s">
        <v>1042</v>
      </c>
      <c r="M85" s="9" t="s">
        <v>1043</v>
      </c>
      <c r="N85" s="8" t="s">
        <v>181</v>
      </c>
      <c r="O85" s="10"/>
      <c r="P85" s="8"/>
      <c r="Q85" s="8" t="s">
        <v>48</v>
      </c>
      <c r="R85" s="9" t="s">
        <v>49</v>
      </c>
      <c r="S85" s="9" t="s">
        <v>50</v>
      </c>
      <c r="T85" s="8" t="s">
        <v>1044</v>
      </c>
      <c r="U85" s="8" t="s">
        <v>52</v>
      </c>
      <c r="V85" s="8" t="s">
        <v>1045</v>
      </c>
      <c r="W85" s="8" t="s">
        <v>48</v>
      </c>
      <c r="X85" s="8" t="s">
        <v>1046</v>
      </c>
      <c r="Y85" s="9" t="s">
        <v>79</v>
      </c>
      <c r="Z85" s="9" t="s">
        <v>1047</v>
      </c>
      <c r="AA85" s="8" t="s">
        <v>1048</v>
      </c>
      <c r="AB85" s="8"/>
      <c r="AC85" s="9" t="s">
        <v>60</v>
      </c>
      <c r="AD85" s="9" t="s">
        <v>1049</v>
      </c>
      <c r="AE85" s="9" t="s">
        <v>148</v>
      </c>
      <c r="AF85" s="9" t="s">
        <v>63</v>
      </c>
      <c r="AG85" s="8" t="s">
        <v>1050</v>
      </c>
    </row>
    <row r="86" customFormat="false" ht="169.4" hidden="false" customHeight="false" outlineLevel="0" collapsed="false">
      <c r="A86" s="8" t="s">
        <v>1051</v>
      </c>
      <c r="B86" s="8" t="s">
        <v>1038</v>
      </c>
      <c r="C86" s="9" t="s">
        <v>996</v>
      </c>
      <c r="D86" s="9" t="s">
        <v>36</v>
      </c>
      <c r="E86" s="8" t="s">
        <v>37</v>
      </c>
      <c r="F86" s="9" t="s">
        <v>121</v>
      </c>
      <c r="G86" s="8" t="s">
        <v>152</v>
      </c>
      <c r="H86" s="8" t="s">
        <v>1039</v>
      </c>
      <c r="I86" s="8" t="s">
        <v>1052</v>
      </c>
      <c r="J86" s="8" t="s">
        <v>1053</v>
      </c>
      <c r="K86" s="9" t="s">
        <v>57</v>
      </c>
      <c r="L86" s="8" t="s">
        <v>1054</v>
      </c>
      <c r="M86" s="9" t="s">
        <v>1055</v>
      </c>
      <c r="N86" s="8" t="s">
        <v>181</v>
      </c>
      <c r="O86" s="10"/>
      <c r="P86" s="8"/>
      <c r="Q86" s="8" t="s">
        <v>48</v>
      </c>
      <c r="R86" s="9" t="s">
        <v>49</v>
      </c>
      <c r="S86" s="9" t="s">
        <v>130</v>
      </c>
      <c r="T86" s="8"/>
      <c r="U86" s="8" t="s">
        <v>263</v>
      </c>
      <c r="V86" s="8" t="s">
        <v>1056</v>
      </c>
      <c r="W86" s="8" t="s">
        <v>48</v>
      </c>
      <c r="X86" s="8" t="s">
        <v>1057</v>
      </c>
      <c r="Y86" s="9" t="s">
        <v>79</v>
      </c>
      <c r="Z86" s="9" t="s">
        <v>1058</v>
      </c>
      <c r="AA86" s="8" t="s">
        <v>1059</v>
      </c>
      <c r="AB86" s="8"/>
      <c r="AC86" s="9" t="s">
        <v>60</v>
      </c>
      <c r="AD86" s="9" t="s">
        <v>1060</v>
      </c>
      <c r="AE86" s="9" t="s">
        <v>62</v>
      </c>
      <c r="AF86" s="9" t="s">
        <v>63</v>
      </c>
      <c r="AG86" s="8"/>
    </row>
    <row r="87" customFormat="false" ht="135.8" hidden="false" customHeight="false" outlineLevel="0" collapsed="false">
      <c r="A87" s="8" t="s">
        <v>1061</v>
      </c>
      <c r="B87" s="8" t="s">
        <v>1062</v>
      </c>
      <c r="C87" s="9" t="s">
        <v>996</v>
      </c>
      <c r="D87" s="9" t="s">
        <v>36</v>
      </c>
      <c r="E87" s="8" t="s">
        <v>120</v>
      </c>
      <c r="F87" s="9" t="s">
        <v>121</v>
      </c>
      <c r="G87" s="8" t="s">
        <v>355</v>
      </c>
      <c r="H87" s="8" t="s">
        <v>665</v>
      </c>
      <c r="I87" s="8" t="s">
        <v>1063</v>
      </c>
      <c r="J87" s="8" t="s">
        <v>1064</v>
      </c>
      <c r="K87" s="9" t="s">
        <v>126</v>
      </c>
      <c r="L87" s="8" t="s">
        <v>1065</v>
      </c>
      <c r="M87" s="9" t="s">
        <v>1066</v>
      </c>
      <c r="N87" s="8" t="s">
        <v>74</v>
      </c>
      <c r="O87" s="10"/>
      <c r="P87" s="8" t="s">
        <v>1067</v>
      </c>
      <c r="Q87" s="8" t="s">
        <v>48</v>
      </c>
      <c r="R87" s="9" t="s">
        <v>49</v>
      </c>
      <c r="S87" s="9" t="s">
        <v>50</v>
      </c>
      <c r="T87" s="8" t="s">
        <v>1068</v>
      </c>
      <c r="U87" s="8" t="s">
        <v>263</v>
      </c>
      <c r="V87" s="8" t="s">
        <v>506</v>
      </c>
      <c r="W87" s="8" t="s">
        <v>54</v>
      </c>
      <c r="X87" s="8" t="s">
        <v>1069</v>
      </c>
      <c r="Y87" s="9" t="s">
        <v>79</v>
      </c>
      <c r="Z87" s="9" t="s">
        <v>1070</v>
      </c>
      <c r="AA87" s="8" t="s">
        <v>1071</v>
      </c>
      <c r="AB87" s="8"/>
      <c r="AC87" s="9" t="s">
        <v>60</v>
      </c>
      <c r="AD87" s="9" t="s">
        <v>1072</v>
      </c>
      <c r="AE87" s="9" t="s">
        <v>148</v>
      </c>
      <c r="AF87" s="9" t="s">
        <v>63</v>
      </c>
      <c r="AG87" s="8" t="s">
        <v>1073</v>
      </c>
    </row>
    <row r="88" customFormat="false" ht="102.2" hidden="false" customHeight="false" outlineLevel="0" collapsed="false">
      <c r="A88" s="8" t="s">
        <v>1074</v>
      </c>
      <c r="B88" s="8" t="s">
        <v>1075</v>
      </c>
      <c r="C88" s="9" t="s">
        <v>996</v>
      </c>
      <c r="D88" s="9" t="s">
        <v>36</v>
      </c>
      <c r="E88" s="8" t="s">
        <v>37</v>
      </c>
      <c r="F88" s="9" t="s">
        <v>38</v>
      </c>
      <c r="G88" s="8" t="s">
        <v>595</v>
      </c>
      <c r="H88" s="8" t="s">
        <v>513</v>
      </c>
      <c r="I88" s="8" t="s">
        <v>1076</v>
      </c>
      <c r="J88" s="8" t="s">
        <v>1077</v>
      </c>
      <c r="K88" s="9" t="s">
        <v>242</v>
      </c>
      <c r="L88" s="8" t="s">
        <v>1078</v>
      </c>
      <c r="M88" s="9" t="s">
        <v>1079</v>
      </c>
      <c r="N88" s="8" t="s">
        <v>46</v>
      </c>
      <c r="O88" s="10"/>
      <c r="P88" s="8"/>
      <c r="Q88" s="8" t="s">
        <v>48</v>
      </c>
      <c r="R88" s="9" t="s">
        <v>49</v>
      </c>
      <c r="S88" s="9" t="s">
        <v>50</v>
      </c>
      <c r="T88" s="8" t="s">
        <v>1080</v>
      </c>
      <c r="U88" s="8" t="s">
        <v>52</v>
      </c>
      <c r="V88" s="8" t="s">
        <v>506</v>
      </c>
      <c r="W88" s="8" t="s">
        <v>54</v>
      </c>
      <c r="X88" s="8" t="s">
        <v>1081</v>
      </c>
      <c r="Y88" s="9" t="s">
        <v>56</v>
      </c>
      <c r="Z88" s="9" t="s">
        <v>1082</v>
      </c>
      <c r="AA88" s="8" t="s">
        <v>1083</v>
      </c>
      <c r="AB88" s="8"/>
      <c r="AC88" s="9" t="s">
        <v>60</v>
      </c>
      <c r="AD88" s="9" t="s">
        <v>1084</v>
      </c>
      <c r="AE88" s="9" t="s">
        <v>148</v>
      </c>
      <c r="AF88" s="9" t="s">
        <v>63</v>
      </c>
      <c r="AG88" s="8" t="s">
        <v>1085</v>
      </c>
    </row>
    <row r="89" customFormat="false" ht="102.2" hidden="false" customHeight="false" outlineLevel="0" collapsed="false">
      <c r="A89" s="8" t="s">
        <v>1086</v>
      </c>
      <c r="B89" s="8" t="s">
        <v>1087</v>
      </c>
      <c r="C89" s="9" t="s">
        <v>996</v>
      </c>
      <c r="D89" s="9" t="s">
        <v>36</v>
      </c>
      <c r="E89" s="8" t="s">
        <v>120</v>
      </c>
      <c r="F89" s="9" t="s">
        <v>121</v>
      </c>
      <c r="G89" s="8" t="s">
        <v>152</v>
      </c>
      <c r="H89" s="8" t="s">
        <v>665</v>
      </c>
      <c r="I89" s="8" t="s">
        <v>1088</v>
      </c>
      <c r="J89" s="8" t="s">
        <v>1089</v>
      </c>
      <c r="K89" s="9" t="s">
        <v>126</v>
      </c>
      <c r="L89" s="8" t="s">
        <v>1090</v>
      </c>
      <c r="M89" s="9" t="s">
        <v>1091</v>
      </c>
      <c r="N89" s="8" t="s">
        <v>46</v>
      </c>
      <c r="O89" s="10"/>
      <c r="P89" s="8" t="s">
        <v>1092</v>
      </c>
      <c r="Q89" s="8" t="s">
        <v>48</v>
      </c>
      <c r="R89" s="9" t="s">
        <v>49</v>
      </c>
      <c r="S89" s="9" t="s">
        <v>50</v>
      </c>
      <c r="T89" s="8" t="s">
        <v>1093</v>
      </c>
      <c r="U89" s="8" t="s">
        <v>52</v>
      </c>
      <c r="V89" s="8" t="s">
        <v>1094</v>
      </c>
      <c r="W89" s="8" t="s">
        <v>54</v>
      </c>
      <c r="X89" s="8" t="s">
        <v>1095</v>
      </c>
      <c r="Y89" s="9" t="s">
        <v>79</v>
      </c>
      <c r="Z89" s="9" t="s">
        <v>1096</v>
      </c>
      <c r="AA89" s="8" t="s">
        <v>1097</v>
      </c>
      <c r="AB89" s="8"/>
      <c r="AC89" s="9" t="s">
        <v>60</v>
      </c>
      <c r="AD89" s="9" t="s">
        <v>1098</v>
      </c>
      <c r="AE89" s="9" t="s">
        <v>148</v>
      </c>
      <c r="AF89" s="9" t="s">
        <v>63</v>
      </c>
      <c r="AG89" s="8" t="s">
        <v>1099</v>
      </c>
    </row>
    <row r="90" customFormat="false" ht="113.4" hidden="false" customHeight="false" outlineLevel="0" collapsed="false">
      <c r="A90" s="8" t="s">
        <v>1100</v>
      </c>
      <c r="B90" s="8" t="s">
        <v>1087</v>
      </c>
      <c r="C90" s="9" t="s">
        <v>996</v>
      </c>
      <c r="D90" s="9" t="s">
        <v>36</v>
      </c>
      <c r="E90" s="8" t="s">
        <v>1101</v>
      </c>
      <c r="F90" s="9" t="s">
        <v>104</v>
      </c>
      <c r="G90" s="8" t="s">
        <v>214</v>
      </c>
      <c r="H90" s="8" t="s">
        <v>665</v>
      </c>
      <c r="I90" s="8" t="s">
        <v>1102</v>
      </c>
      <c r="J90" s="8" t="s">
        <v>1103</v>
      </c>
      <c r="K90" s="9" t="s">
        <v>216</v>
      </c>
      <c r="L90" s="8" t="s">
        <v>1104</v>
      </c>
      <c r="M90" s="9" t="s">
        <v>1105</v>
      </c>
      <c r="N90" s="8" t="s">
        <v>46</v>
      </c>
      <c r="O90" s="10"/>
      <c r="P90" s="8"/>
      <c r="Q90" s="8" t="s">
        <v>48</v>
      </c>
      <c r="R90" s="9" t="s">
        <v>49</v>
      </c>
      <c r="S90" s="9" t="s">
        <v>50</v>
      </c>
      <c r="T90" s="8" t="s">
        <v>1106</v>
      </c>
      <c r="U90" s="8" t="s">
        <v>52</v>
      </c>
      <c r="V90" s="8" t="s">
        <v>1107</v>
      </c>
      <c r="W90" s="8" t="s">
        <v>54</v>
      </c>
      <c r="X90" s="8" t="s">
        <v>1108</v>
      </c>
      <c r="Y90" s="9" t="s">
        <v>79</v>
      </c>
      <c r="Z90" s="9" t="s">
        <v>1109</v>
      </c>
      <c r="AA90" s="8" t="s">
        <v>1110</v>
      </c>
      <c r="AB90" s="8"/>
      <c r="AC90" s="9" t="s">
        <v>60</v>
      </c>
      <c r="AD90" s="9" t="s">
        <v>1111</v>
      </c>
      <c r="AE90" s="9" t="s">
        <v>148</v>
      </c>
      <c r="AF90" s="9" t="s">
        <v>63</v>
      </c>
      <c r="AG90" s="8" t="s">
        <v>1112</v>
      </c>
    </row>
    <row r="91" customFormat="false" ht="91" hidden="false" customHeight="false" outlineLevel="0" collapsed="false">
      <c r="A91" s="8" t="s">
        <v>1113</v>
      </c>
      <c r="B91" s="8" t="s">
        <v>1114</v>
      </c>
      <c r="C91" s="9" t="s">
        <v>996</v>
      </c>
      <c r="D91" s="9" t="s">
        <v>36</v>
      </c>
      <c r="E91" s="8" t="s">
        <v>37</v>
      </c>
      <c r="F91" s="9" t="s">
        <v>104</v>
      </c>
      <c r="G91" s="8" t="s">
        <v>595</v>
      </c>
      <c r="H91" s="8" t="s">
        <v>1115</v>
      </c>
      <c r="I91" s="8" t="s">
        <v>1116</v>
      </c>
      <c r="J91" s="8" t="s">
        <v>1117</v>
      </c>
      <c r="K91" s="9" t="s">
        <v>242</v>
      </c>
      <c r="L91" s="8" t="s">
        <v>1118</v>
      </c>
      <c r="M91" s="9" t="s">
        <v>1119</v>
      </c>
      <c r="N91" s="8" t="s">
        <v>46</v>
      </c>
      <c r="O91" s="10"/>
      <c r="P91" s="8"/>
      <c r="Q91" s="8" t="s">
        <v>48</v>
      </c>
      <c r="R91" s="9" t="s">
        <v>49</v>
      </c>
      <c r="S91" s="9" t="s">
        <v>50</v>
      </c>
      <c r="T91" s="8" t="s">
        <v>1120</v>
      </c>
      <c r="U91" s="8" t="s">
        <v>52</v>
      </c>
      <c r="V91" s="8" t="s">
        <v>506</v>
      </c>
      <c r="W91" s="8" t="s">
        <v>54</v>
      </c>
      <c r="X91" s="8" t="s">
        <v>1121</v>
      </c>
      <c r="Y91" s="9" t="s">
        <v>56</v>
      </c>
      <c r="Z91" s="9" t="s">
        <v>1122</v>
      </c>
      <c r="AA91" s="8" t="s">
        <v>1123</v>
      </c>
      <c r="AB91" s="8"/>
      <c r="AC91" s="9" t="s">
        <v>60</v>
      </c>
      <c r="AD91" s="9" t="s">
        <v>1124</v>
      </c>
      <c r="AE91" s="9" t="s">
        <v>148</v>
      </c>
      <c r="AF91" s="9" t="s">
        <v>63</v>
      </c>
      <c r="AG91" s="8" t="s">
        <v>1125</v>
      </c>
    </row>
    <row r="92" customFormat="false" ht="102.2" hidden="false" customHeight="false" outlineLevel="0" collapsed="false">
      <c r="A92" s="8" t="s">
        <v>1126</v>
      </c>
      <c r="B92" s="8" t="s">
        <v>1127</v>
      </c>
      <c r="C92" s="9" t="s">
        <v>996</v>
      </c>
      <c r="D92" s="9" t="s">
        <v>36</v>
      </c>
      <c r="E92" s="8" t="s">
        <v>37</v>
      </c>
      <c r="F92" s="9" t="s">
        <v>104</v>
      </c>
      <c r="G92" s="8" t="s">
        <v>214</v>
      </c>
      <c r="H92" s="8" t="s">
        <v>123</v>
      </c>
      <c r="I92" s="8" t="s">
        <v>1128</v>
      </c>
      <c r="J92" s="8" t="s">
        <v>1129</v>
      </c>
      <c r="K92" s="9" t="s">
        <v>216</v>
      </c>
      <c r="L92" s="8" t="s">
        <v>1130</v>
      </c>
      <c r="M92" s="9" t="s">
        <v>1131</v>
      </c>
      <c r="N92" s="8" t="s">
        <v>46</v>
      </c>
      <c r="O92" s="10"/>
      <c r="P92" s="8"/>
      <c r="Q92" s="8" t="s">
        <v>48</v>
      </c>
      <c r="R92" s="9" t="s">
        <v>49</v>
      </c>
      <c r="S92" s="9" t="s">
        <v>50</v>
      </c>
      <c r="T92" s="8" t="s">
        <v>1132</v>
      </c>
      <c r="U92" s="8" t="s">
        <v>52</v>
      </c>
      <c r="V92" s="8" t="s">
        <v>506</v>
      </c>
      <c r="W92" s="8" t="s">
        <v>54</v>
      </c>
      <c r="X92" s="8" t="s">
        <v>1133</v>
      </c>
      <c r="Y92" s="9" t="s">
        <v>56</v>
      </c>
      <c r="Z92" s="9" t="s">
        <v>1134</v>
      </c>
      <c r="AA92" s="8" t="s">
        <v>1135</v>
      </c>
      <c r="AB92" s="8"/>
      <c r="AC92" s="9" t="s">
        <v>60</v>
      </c>
      <c r="AD92" s="9" t="s">
        <v>1136</v>
      </c>
      <c r="AE92" s="9" t="s">
        <v>62</v>
      </c>
      <c r="AF92" s="9" t="s">
        <v>63</v>
      </c>
      <c r="AG92" s="8" t="s">
        <v>1137</v>
      </c>
    </row>
    <row r="93" customFormat="false" ht="91" hidden="false" customHeight="false" outlineLevel="0" collapsed="false">
      <c r="A93" s="11" t="s">
        <v>1138</v>
      </c>
      <c r="B93" s="11" t="s">
        <v>1139</v>
      </c>
      <c r="C93" s="12" t="s">
        <v>1140</v>
      </c>
      <c r="D93" s="12" t="s">
        <v>36</v>
      </c>
      <c r="E93" s="11" t="s">
        <v>120</v>
      </c>
      <c r="F93" s="12" t="s">
        <v>121</v>
      </c>
      <c r="G93" s="11" t="s">
        <v>175</v>
      </c>
      <c r="H93" s="11" t="s">
        <v>499</v>
      </c>
      <c r="I93" s="11" t="s">
        <v>1141</v>
      </c>
      <c r="J93" s="11" t="s">
        <v>1142</v>
      </c>
      <c r="K93" s="12" t="s">
        <v>126</v>
      </c>
      <c r="L93" s="11" t="s">
        <v>1143</v>
      </c>
      <c r="M93" s="12" t="s">
        <v>1144</v>
      </c>
      <c r="N93" s="11" t="s">
        <v>142</v>
      </c>
      <c r="O93" s="13"/>
      <c r="P93" s="11" t="s">
        <v>1145</v>
      </c>
      <c r="Q93" s="11" t="s">
        <v>1146</v>
      </c>
      <c r="R93" s="12" t="s">
        <v>637</v>
      </c>
      <c r="S93" s="12" t="s">
        <v>50</v>
      </c>
      <c r="T93" s="11" t="s">
        <v>1147</v>
      </c>
      <c r="U93" s="11" t="s">
        <v>52</v>
      </c>
      <c r="V93" s="11" t="s">
        <v>57</v>
      </c>
      <c r="W93" s="11" t="s">
        <v>48</v>
      </c>
      <c r="X93" s="11" t="s">
        <v>1148</v>
      </c>
      <c r="Y93" s="12" t="s">
        <v>79</v>
      </c>
      <c r="Z93" s="12" t="s">
        <v>57</v>
      </c>
      <c r="AA93" s="11" t="s">
        <v>1149</v>
      </c>
      <c r="AB93" s="11"/>
      <c r="AC93" s="12" t="s">
        <v>60</v>
      </c>
      <c r="AD93" s="12" t="s">
        <v>1150</v>
      </c>
      <c r="AE93" s="12" t="s">
        <v>148</v>
      </c>
      <c r="AF93" s="12" t="s">
        <v>63</v>
      </c>
      <c r="AG93" s="11" t="s">
        <v>1151</v>
      </c>
    </row>
    <row r="94" customFormat="false" ht="79.85" hidden="false" customHeight="false" outlineLevel="0" collapsed="false">
      <c r="A94" s="11" t="s">
        <v>1152</v>
      </c>
      <c r="B94" s="11" t="s">
        <v>1153</v>
      </c>
      <c r="C94" s="12" t="s">
        <v>1140</v>
      </c>
      <c r="D94" s="12" t="s">
        <v>36</v>
      </c>
      <c r="E94" s="11" t="s">
        <v>103</v>
      </c>
      <c r="F94" s="12" t="s">
        <v>104</v>
      </c>
      <c r="G94" s="11" t="s">
        <v>595</v>
      </c>
      <c r="H94" s="11" t="s">
        <v>716</v>
      </c>
      <c r="I94" s="11" t="s">
        <v>1154</v>
      </c>
      <c r="J94" s="11" t="s">
        <v>1155</v>
      </c>
      <c r="K94" s="12" t="s">
        <v>71</v>
      </c>
      <c r="L94" s="11" t="s">
        <v>1156</v>
      </c>
      <c r="M94" s="12" t="s">
        <v>1157</v>
      </c>
      <c r="N94" s="11" t="s">
        <v>46</v>
      </c>
      <c r="O94" s="13"/>
      <c r="P94" s="11" t="s">
        <v>1158</v>
      </c>
      <c r="Q94" s="11" t="s">
        <v>48</v>
      </c>
      <c r="R94" s="12" t="s">
        <v>49</v>
      </c>
      <c r="S94" s="12" t="s">
        <v>50</v>
      </c>
      <c r="T94" s="11" t="s">
        <v>1159</v>
      </c>
      <c r="U94" s="11" t="s">
        <v>52</v>
      </c>
      <c r="V94" s="11" t="s">
        <v>1160</v>
      </c>
      <c r="W94" s="11" t="s">
        <v>54</v>
      </c>
      <c r="X94" s="11" t="s">
        <v>1161</v>
      </c>
      <c r="Y94" s="12" t="s">
        <v>79</v>
      </c>
      <c r="Z94" s="12" t="s">
        <v>1162</v>
      </c>
      <c r="AA94" s="11" t="s">
        <v>1163</v>
      </c>
      <c r="AB94" s="11"/>
      <c r="AC94" s="12" t="s">
        <v>60</v>
      </c>
      <c r="AD94" s="12" t="s">
        <v>1164</v>
      </c>
      <c r="AE94" s="12" t="s">
        <v>148</v>
      </c>
      <c r="AF94" s="12" t="s">
        <v>63</v>
      </c>
      <c r="AG94" s="11" t="s">
        <v>1165</v>
      </c>
    </row>
    <row r="95" customFormat="false" ht="68.65" hidden="false" customHeight="false" outlineLevel="0" collapsed="false">
      <c r="A95" s="11" t="s">
        <v>1166</v>
      </c>
      <c r="B95" s="11" t="s">
        <v>1153</v>
      </c>
      <c r="C95" s="12" t="s">
        <v>1140</v>
      </c>
      <c r="D95" s="12" t="s">
        <v>36</v>
      </c>
      <c r="E95" s="11" t="s">
        <v>151</v>
      </c>
      <c r="F95" s="12" t="s">
        <v>104</v>
      </c>
      <c r="G95" s="11" t="s">
        <v>595</v>
      </c>
      <c r="H95" s="11" t="s">
        <v>716</v>
      </c>
      <c r="I95" s="11" t="s">
        <v>1167</v>
      </c>
      <c r="J95" s="11" t="s">
        <v>1168</v>
      </c>
      <c r="K95" s="12" t="s">
        <v>108</v>
      </c>
      <c r="L95" s="11" t="s">
        <v>1169</v>
      </c>
      <c r="M95" s="12" t="s">
        <v>1157</v>
      </c>
      <c r="N95" s="11" t="s">
        <v>46</v>
      </c>
      <c r="O95" s="13"/>
      <c r="P95" s="11" t="s">
        <v>1170</v>
      </c>
      <c r="Q95" s="11" t="s">
        <v>48</v>
      </c>
      <c r="R95" s="12" t="s">
        <v>49</v>
      </c>
      <c r="S95" s="12" t="s">
        <v>50</v>
      </c>
      <c r="T95" s="11" t="s">
        <v>1171</v>
      </c>
      <c r="U95" s="11" t="s">
        <v>52</v>
      </c>
      <c r="V95" s="11" t="s">
        <v>1172</v>
      </c>
      <c r="W95" s="11" t="s">
        <v>54</v>
      </c>
      <c r="X95" s="11" t="s">
        <v>1173</v>
      </c>
      <c r="Y95" s="12" t="s">
        <v>79</v>
      </c>
      <c r="Z95" s="12" t="s">
        <v>1162</v>
      </c>
      <c r="AA95" s="11" t="s">
        <v>1174</v>
      </c>
      <c r="AB95" s="11"/>
      <c r="AC95" s="12" t="s">
        <v>60</v>
      </c>
      <c r="AD95" s="12" t="s">
        <v>1175</v>
      </c>
      <c r="AE95" s="12" t="s">
        <v>148</v>
      </c>
      <c r="AF95" s="12" t="s">
        <v>63</v>
      </c>
      <c r="AG95" s="11" t="s">
        <v>1176</v>
      </c>
    </row>
    <row r="96" customFormat="false" ht="79.85" hidden="false" customHeight="false" outlineLevel="0" collapsed="false">
      <c r="A96" s="11" t="s">
        <v>1177</v>
      </c>
      <c r="B96" s="11" t="s">
        <v>1153</v>
      </c>
      <c r="C96" s="12" t="s">
        <v>1140</v>
      </c>
      <c r="D96" s="12" t="s">
        <v>36</v>
      </c>
      <c r="E96" s="11" t="s">
        <v>103</v>
      </c>
      <c r="F96" s="12" t="s">
        <v>104</v>
      </c>
      <c r="G96" s="11" t="s">
        <v>595</v>
      </c>
      <c r="H96" s="11" t="s">
        <v>716</v>
      </c>
      <c r="I96" s="11" t="s">
        <v>1178</v>
      </c>
      <c r="J96" s="11" t="s">
        <v>1179</v>
      </c>
      <c r="K96" s="12" t="s">
        <v>71</v>
      </c>
      <c r="L96" s="11" t="s">
        <v>1180</v>
      </c>
      <c r="M96" s="12" t="s">
        <v>1157</v>
      </c>
      <c r="N96" s="11" t="s">
        <v>46</v>
      </c>
      <c r="O96" s="13"/>
      <c r="P96" s="11" t="s">
        <v>1181</v>
      </c>
      <c r="Q96" s="11" t="s">
        <v>48</v>
      </c>
      <c r="R96" s="12" t="s">
        <v>49</v>
      </c>
      <c r="S96" s="12" t="s">
        <v>50</v>
      </c>
      <c r="T96" s="11" t="s">
        <v>1182</v>
      </c>
      <c r="U96" s="11" t="s">
        <v>52</v>
      </c>
      <c r="V96" s="11" t="s">
        <v>1183</v>
      </c>
      <c r="W96" s="11" t="s">
        <v>1184</v>
      </c>
      <c r="X96" s="11" t="s">
        <v>1185</v>
      </c>
      <c r="Y96" s="12" t="s">
        <v>79</v>
      </c>
      <c r="Z96" s="12" t="s">
        <v>1186</v>
      </c>
      <c r="AA96" s="11" t="s">
        <v>1187</v>
      </c>
      <c r="AB96" s="11"/>
      <c r="AC96" s="12" t="s">
        <v>60</v>
      </c>
      <c r="AD96" s="12" t="s">
        <v>1188</v>
      </c>
      <c r="AE96" s="12" t="s">
        <v>148</v>
      </c>
      <c r="AF96" s="12" t="s">
        <v>63</v>
      </c>
      <c r="AG96" s="11" t="s">
        <v>1176</v>
      </c>
    </row>
    <row r="97" customFormat="false" ht="57.45" hidden="false" customHeight="false" outlineLevel="0" collapsed="false">
      <c r="A97" s="11" t="s">
        <v>1189</v>
      </c>
      <c r="B97" s="11" t="s">
        <v>1190</v>
      </c>
      <c r="C97" s="12" t="s">
        <v>1140</v>
      </c>
      <c r="D97" s="12" t="s">
        <v>36</v>
      </c>
      <c r="E97" s="11" t="s">
        <v>120</v>
      </c>
      <c r="F97" s="12" t="s">
        <v>104</v>
      </c>
      <c r="G97" s="11" t="s">
        <v>1191</v>
      </c>
      <c r="H97" s="11" t="s">
        <v>583</v>
      </c>
      <c r="I97" s="11" t="s">
        <v>1192</v>
      </c>
      <c r="J97" s="11" t="s">
        <v>1193</v>
      </c>
      <c r="K97" s="12" t="s">
        <v>216</v>
      </c>
      <c r="L97" s="11" t="s">
        <v>1194</v>
      </c>
      <c r="M97" s="12" t="s">
        <v>1195</v>
      </c>
      <c r="N97" s="11" t="s">
        <v>142</v>
      </c>
      <c r="O97" s="13"/>
      <c r="P97" s="11" t="s">
        <v>1196</v>
      </c>
      <c r="Q97" s="11" t="s">
        <v>48</v>
      </c>
      <c r="R97" s="12" t="s">
        <v>49</v>
      </c>
      <c r="S97" s="12" t="s">
        <v>50</v>
      </c>
      <c r="T97" s="11" t="s">
        <v>1197</v>
      </c>
      <c r="U97" s="11" t="s">
        <v>52</v>
      </c>
      <c r="V97" s="11" t="s">
        <v>57</v>
      </c>
      <c r="W97" s="11" t="s">
        <v>48</v>
      </c>
      <c r="X97" s="11" t="s">
        <v>1198</v>
      </c>
      <c r="Y97" s="12" t="s">
        <v>79</v>
      </c>
      <c r="Z97" s="12" t="s">
        <v>1199</v>
      </c>
      <c r="AA97" s="11" t="s">
        <v>1200</v>
      </c>
      <c r="AB97" s="11"/>
      <c r="AC97" s="12" t="s">
        <v>60</v>
      </c>
      <c r="AD97" s="12" t="s">
        <v>1201</v>
      </c>
      <c r="AE97" s="12" t="s">
        <v>148</v>
      </c>
      <c r="AF97" s="12" t="s">
        <v>63</v>
      </c>
      <c r="AG97" s="11" t="s">
        <v>1202</v>
      </c>
    </row>
    <row r="98" customFormat="false" ht="91" hidden="false" customHeight="false" outlineLevel="0" collapsed="false">
      <c r="A98" s="11" t="s">
        <v>1203</v>
      </c>
      <c r="B98" s="11" t="s">
        <v>1204</v>
      </c>
      <c r="C98" s="12" t="s">
        <v>1140</v>
      </c>
      <c r="D98" s="12" t="s">
        <v>36</v>
      </c>
      <c r="E98" s="11" t="s">
        <v>1205</v>
      </c>
      <c r="F98" s="12" t="s">
        <v>201</v>
      </c>
      <c r="G98" s="11" t="s">
        <v>1206</v>
      </c>
      <c r="H98" s="11" t="s">
        <v>86</v>
      </c>
      <c r="I98" s="11" t="s">
        <v>1207</v>
      </c>
      <c r="J98" s="11" t="s">
        <v>1208</v>
      </c>
      <c r="K98" s="12" t="s">
        <v>126</v>
      </c>
      <c r="L98" s="11" t="s">
        <v>1209</v>
      </c>
      <c r="M98" s="12" t="s">
        <v>1210</v>
      </c>
      <c r="N98" s="11" t="s">
        <v>181</v>
      </c>
      <c r="O98" s="13"/>
      <c r="P98" s="11" t="s">
        <v>1211</v>
      </c>
      <c r="Q98" s="11" t="s">
        <v>48</v>
      </c>
      <c r="R98" s="12" t="s">
        <v>49</v>
      </c>
      <c r="S98" s="12" t="s">
        <v>50</v>
      </c>
      <c r="T98" s="11" t="s">
        <v>1212</v>
      </c>
      <c r="U98" s="11" t="s">
        <v>52</v>
      </c>
      <c r="V98" s="11" t="s">
        <v>1213</v>
      </c>
      <c r="W98" s="11" t="s">
        <v>48</v>
      </c>
      <c r="X98" s="11" t="s">
        <v>1214</v>
      </c>
      <c r="Y98" s="12" t="s">
        <v>79</v>
      </c>
      <c r="Z98" s="12" t="s">
        <v>57</v>
      </c>
      <c r="AA98" s="11" t="s">
        <v>1215</v>
      </c>
      <c r="AB98" s="11"/>
      <c r="AC98" s="12" t="s">
        <v>60</v>
      </c>
      <c r="AD98" s="12" t="s">
        <v>1216</v>
      </c>
      <c r="AE98" s="12" t="s">
        <v>148</v>
      </c>
      <c r="AF98" s="12" t="s">
        <v>63</v>
      </c>
      <c r="AG98" s="11" t="s">
        <v>1217</v>
      </c>
    </row>
    <row r="99" customFormat="false" ht="79.85" hidden="false" customHeight="false" outlineLevel="0" collapsed="false">
      <c r="A99" s="11" t="s">
        <v>1218</v>
      </c>
      <c r="B99" s="11" t="s">
        <v>1204</v>
      </c>
      <c r="C99" s="12" t="s">
        <v>1140</v>
      </c>
      <c r="D99" s="12" t="s">
        <v>36</v>
      </c>
      <c r="E99" s="11" t="s">
        <v>1219</v>
      </c>
      <c r="F99" s="12" t="s">
        <v>104</v>
      </c>
      <c r="G99" s="11" t="s">
        <v>1220</v>
      </c>
      <c r="H99" s="11" t="s">
        <v>86</v>
      </c>
      <c r="I99" s="11" t="s">
        <v>1221</v>
      </c>
      <c r="J99" s="11" t="s">
        <v>1222</v>
      </c>
      <c r="K99" s="12" t="s">
        <v>216</v>
      </c>
      <c r="L99" s="11" t="s">
        <v>1223</v>
      </c>
      <c r="M99" s="12" t="s">
        <v>1224</v>
      </c>
      <c r="N99" s="11" t="s">
        <v>181</v>
      </c>
      <c r="O99" s="13"/>
      <c r="P99" s="11" t="s">
        <v>1225</v>
      </c>
      <c r="Q99" s="11" t="s">
        <v>48</v>
      </c>
      <c r="R99" s="12" t="s">
        <v>49</v>
      </c>
      <c r="S99" s="12" t="s">
        <v>50</v>
      </c>
      <c r="T99" s="11" t="s">
        <v>1226</v>
      </c>
      <c r="U99" s="11" t="s">
        <v>52</v>
      </c>
      <c r="V99" s="11" t="s">
        <v>1227</v>
      </c>
      <c r="W99" s="11" t="s">
        <v>48</v>
      </c>
      <c r="X99" s="11" t="s">
        <v>1228</v>
      </c>
      <c r="Y99" s="12" t="s">
        <v>79</v>
      </c>
      <c r="Z99" s="12" t="s">
        <v>57</v>
      </c>
      <c r="AA99" s="11" t="s">
        <v>1229</v>
      </c>
      <c r="AB99" s="11"/>
      <c r="AC99" s="12" t="s">
        <v>60</v>
      </c>
      <c r="AD99" s="12" t="s">
        <v>1230</v>
      </c>
      <c r="AE99" s="12" t="s">
        <v>148</v>
      </c>
      <c r="AF99" s="12" t="s">
        <v>63</v>
      </c>
      <c r="AG99" s="11" t="s">
        <v>1231</v>
      </c>
    </row>
    <row r="100" customFormat="false" ht="79.85" hidden="false" customHeight="false" outlineLevel="0" collapsed="false">
      <c r="A100" s="11" t="s">
        <v>1232</v>
      </c>
      <c r="B100" s="11" t="s">
        <v>1204</v>
      </c>
      <c r="C100" s="12" t="s">
        <v>1140</v>
      </c>
      <c r="D100" s="12" t="s">
        <v>36</v>
      </c>
      <c r="E100" s="11" t="s">
        <v>1233</v>
      </c>
      <c r="F100" s="12" t="s">
        <v>121</v>
      </c>
      <c r="G100" s="11" t="s">
        <v>175</v>
      </c>
      <c r="H100" s="11" t="s">
        <v>86</v>
      </c>
      <c r="I100" s="11" t="s">
        <v>1234</v>
      </c>
      <c r="J100" s="11" t="s">
        <v>1235</v>
      </c>
      <c r="K100" s="12" t="s">
        <v>126</v>
      </c>
      <c r="L100" s="11" t="s">
        <v>1236</v>
      </c>
      <c r="M100" s="12" t="s">
        <v>1237</v>
      </c>
      <c r="N100" s="11" t="s">
        <v>181</v>
      </c>
      <c r="O100" s="13" t="n">
        <v>5</v>
      </c>
      <c r="P100" s="11" t="s">
        <v>1238</v>
      </c>
      <c r="Q100" s="11" t="s">
        <v>48</v>
      </c>
      <c r="R100" s="12" t="s">
        <v>49</v>
      </c>
      <c r="S100" s="12" t="s">
        <v>50</v>
      </c>
      <c r="T100" s="11" t="s">
        <v>1212</v>
      </c>
      <c r="U100" s="11" t="s">
        <v>52</v>
      </c>
      <c r="V100" s="11" t="s">
        <v>1239</v>
      </c>
      <c r="W100" s="11" t="s">
        <v>48</v>
      </c>
      <c r="X100" s="11" t="s">
        <v>1240</v>
      </c>
      <c r="Y100" s="12" t="s">
        <v>79</v>
      </c>
      <c r="Z100" s="12" t="s">
        <v>57</v>
      </c>
      <c r="AA100" s="11" t="s">
        <v>1241</v>
      </c>
      <c r="AB100" s="11"/>
      <c r="AC100" s="12" t="s">
        <v>60</v>
      </c>
      <c r="AD100" s="12" t="s">
        <v>1242</v>
      </c>
      <c r="AE100" s="12" t="s">
        <v>148</v>
      </c>
      <c r="AF100" s="12" t="s">
        <v>63</v>
      </c>
      <c r="AG100" s="11" t="s">
        <v>1243</v>
      </c>
    </row>
    <row r="101" customFormat="false" ht="79.85" hidden="false" customHeight="false" outlineLevel="0" collapsed="false">
      <c r="A101" s="11" t="s">
        <v>1244</v>
      </c>
      <c r="B101" s="11" t="s">
        <v>1204</v>
      </c>
      <c r="C101" s="12" t="s">
        <v>1140</v>
      </c>
      <c r="D101" s="12" t="s">
        <v>36</v>
      </c>
      <c r="E101" s="11" t="s">
        <v>461</v>
      </c>
      <c r="F101" s="12" t="s">
        <v>121</v>
      </c>
      <c r="G101" s="11" t="s">
        <v>175</v>
      </c>
      <c r="H101" s="11" t="s">
        <v>86</v>
      </c>
      <c r="I101" s="11" t="s">
        <v>1245</v>
      </c>
      <c r="J101" s="11" t="s">
        <v>1246</v>
      </c>
      <c r="K101" s="12" t="s">
        <v>126</v>
      </c>
      <c r="L101" s="11" t="s">
        <v>1247</v>
      </c>
      <c r="M101" s="12" t="s">
        <v>1248</v>
      </c>
      <c r="N101" s="11" t="s">
        <v>181</v>
      </c>
      <c r="O101" s="13"/>
      <c r="P101" s="11" t="s">
        <v>1249</v>
      </c>
      <c r="Q101" s="11" t="s">
        <v>48</v>
      </c>
      <c r="R101" s="12" t="s">
        <v>49</v>
      </c>
      <c r="S101" s="12" t="s">
        <v>50</v>
      </c>
      <c r="T101" s="11" t="s">
        <v>1212</v>
      </c>
      <c r="U101" s="11" t="s">
        <v>52</v>
      </c>
      <c r="V101" s="11" t="s">
        <v>1250</v>
      </c>
      <c r="W101" s="11" t="s">
        <v>48</v>
      </c>
      <c r="X101" s="11" t="s">
        <v>1251</v>
      </c>
      <c r="Y101" s="12" t="s">
        <v>79</v>
      </c>
      <c r="Z101" s="12" t="s">
        <v>57</v>
      </c>
      <c r="AA101" s="11" t="s">
        <v>1252</v>
      </c>
      <c r="AB101" s="11"/>
      <c r="AC101" s="12" t="s">
        <v>60</v>
      </c>
      <c r="AD101" s="12" t="s">
        <v>1253</v>
      </c>
      <c r="AE101" s="12" t="s">
        <v>148</v>
      </c>
      <c r="AF101" s="12" t="s">
        <v>63</v>
      </c>
      <c r="AG101" s="11" t="s">
        <v>1254</v>
      </c>
    </row>
    <row r="102" customFormat="false" ht="68.65" hidden="false" customHeight="false" outlineLevel="0" collapsed="false">
      <c r="A102" s="11" t="s">
        <v>1255</v>
      </c>
      <c r="B102" s="11" t="s">
        <v>1204</v>
      </c>
      <c r="C102" s="12" t="s">
        <v>1140</v>
      </c>
      <c r="D102" s="12" t="s">
        <v>36</v>
      </c>
      <c r="E102" s="11" t="s">
        <v>37</v>
      </c>
      <c r="F102" s="12" t="s">
        <v>104</v>
      </c>
      <c r="G102" s="11" t="s">
        <v>214</v>
      </c>
      <c r="H102" s="11" t="s">
        <v>86</v>
      </c>
      <c r="I102" s="11" t="s">
        <v>1256</v>
      </c>
      <c r="J102" s="11" t="s">
        <v>1257</v>
      </c>
      <c r="K102" s="12" t="s">
        <v>108</v>
      </c>
      <c r="L102" s="11" t="s">
        <v>1258</v>
      </c>
      <c r="M102" s="12" t="s">
        <v>1259</v>
      </c>
      <c r="N102" s="11" t="s">
        <v>181</v>
      </c>
      <c r="O102" s="13"/>
      <c r="P102" s="11" t="s">
        <v>1260</v>
      </c>
      <c r="Q102" s="11" t="s">
        <v>48</v>
      </c>
      <c r="R102" s="12" t="s">
        <v>49</v>
      </c>
      <c r="S102" s="12" t="s">
        <v>50</v>
      </c>
      <c r="T102" s="11" t="s">
        <v>1261</v>
      </c>
      <c r="U102" s="11" t="s">
        <v>52</v>
      </c>
      <c r="V102" s="11" t="s">
        <v>1262</v>
      </c>
      <c r="W102" s="11" t="s">
        <v>48</v>
      </c>
      <c r="X102" s="11" t="s">
        <v>1263</v>
      </c>
      <c r="Y102" s="12" t="s">
        <v>79</v>
      </c>
      <c r="Z102" s="12" t="s">
        <v>57</v>
      </c>
      <c r="AA102" s="11" t="s">
        <v>1264</v>
      </c>
      <c r="AB102" s="11"/>
      <c r="AC102" s="12" t="s">
        <v>60</v>
      </c>
      <c r="AD102" s="12" t="s">
        <v>1265</v>
      </c>
      <c r="AE102" s="12" t="s">
        <v>148</v>
      </c>
      <c r="AF102" s="12" t="s">
        <v>63</v>
      </c>
      <c r="AG102" s="11" t="s">
        <v>1231</v>
      </c>
    </row>
    <row r="103" customFormat="false" ht="91" hidden="false" customHeight="false" outlineLevel="0" collapsed="false">
      <c r="A103" s="11" t="s">
        <v>1266</v>
      </c>
      <c r="B103" s="11" t="s">
        <v>1267</v>
      </c>
      <c r="C103" s="12" t="s">
        <v>1140</v>
      </c>
      <c r="D103" s="12" t="s">
        <v>36</v>
      </c>
      <c r="E103" s="11" t="s">
        <v>188</v>
      </c>
      <c r="F103" s="12" t="s">
        <v>1268</v>
      </c>
      <c r="G103" s="11" t="s">
        <v>1269</v>
      </c>
      <c r="H103" s="11" t="s">
        <v>583</v>
      </c>
      <c r="I103" s="11" t="s">
        <v>1270</v>
      </c>
      <c r="J103" s="11" t="s">
        <v>1271</v>
      </c>
      <c r="K103" s="12" t="s">
        <v>126</v>
      </c>
      <c r="L103" s="11" t="s">
        <v>1272</v>
      </c>
      <c r="M103" s="12" t="s">
        <v>1273</v>
      </c>
      <c r="N103" s="11" t="s">
        <v>142</v>
      </c>
      <c r="O103" s="13"/>
      <c r="P103" s="11" t="s">
        <v>1274</v>
      </c>
      <c r="Q103" s="11" t="s">
        <v>48</v>
      </c>
      <c r="R103" s="12" t="s">
        <v>49</v>
      </c>
      <c r="S103" s="12" t="s">
        <v>50</v>
      </c>
      <c r="T103" s="11" t="s">
        <v>1275</v>
      </c>
      <c r="U103" s="11" t="s">
        <v>52</v>
      </c>
      <c r="V103" s="11" t="s">
        <v>1276</v>
      </c>
      <c r="W103" s="11" t="s">
        <v>48</v>
      </c>
      <c r="X103" s="11" t="s">
        <v>1277</v>
      </c>
      <c r="Y103" s="12" t="s">
        <v>79</v>
      </c>
      <c r="Z103" s="12" t="s">
        <v>1278</v>
      </c>
      <c r="AA103" s="11" t="s">
        <v>1279</v>
      </c>
      <c r="AB103" s="11"/>
      <c r="AC103" s="12" t="s">
        <v>60</v>
      </c>
      <c r="AD103" s="12" t="s">
        <v>1280</v>
      </c>
      <c r="AE103" s="12" t="s">
        <v>62</v>
      </c>
      <c r="AF103" s="12" t="s">
        <v>63</v>
      </c>
      <c r="AG103" s="11" t="s">
        <v>1281</v>
      </c>
    </row>
    <row r="104" customFormat="false" ht="79.85" hidden="false" customHeight="false" outlineLevel="0" collapsed="false">
      <c r="A104" s="11" t="s">
        <v>1282</v>
      </c>
      <c r="B104" s="11" t="s">
        <v>1283</v>
      </c>
      <c r="C104" s="12" t="s">
        <v>1140</v>
      </c>
      <c r="D104" s="12" t="s">
        <v>36</v>
      </c>
      <c r="E104" s="11" t="s">
        <v>482</v>
      </c>
      <c r="F104" s="12" t="s">
        <v>121</v>
      </c>
      <c r="G104" s="11" t="s">
        <v>1284</v>
      </c>
      <c r="H104" s="11" t="s">
        <v>583</v>
      </c>
      <c r="I104" s="11" t="s">
        <v>1285</v>
      </c>
      <c r="J104" s="11" t="s">
        <v>1286</v>
      </c>
      <c r="K104" s="12" t="s">
        <v>126</v>
      </c>
      <c r="L104" s="11" t="s">
        <v>1287</v>
      </c>
      <c r="M104" s="12" t="s">
        <v>1288</v>
      </c>
      <c r="N104" s="11" t="s">
        <v>181</v>
      </c>
      <c r="O104" s="13"/>
      <c r="P104" s="11" t="s">
        <v>1289</v>
      </c>
      <c r="Q104" s="11" t="s">
        <v>1290</v>
      </c>
      <c r="R104" s="12" t="s">
        <v>1291</v>
      </c>
      <c r="S104" s="12" t="s">
        <v>130</v>
      </c>
      <c r="T104" s="11"/>
      <c r="U104" s="11" t="s">
        <v>52</v>
      </c>
      <c r="V104" s="11" t="s">
        <v>1292</v>
      </c>
      <c r="W104" s="11" t="s">
        <v>181</v>
      </c>
      <c r="X104" s="11" t="s">
        <v>1293</v>
      </c>
      <c r="Y104" s="12" t="s">
        <v>79</v>
      </c>
      <c r="Z104" s="12" t="s">
        <v>57</v>
      </c>
      <c r="AA104" s="11" t="s">
        <v>1294</v>
      </c>
      <c r="AB104" s="11" t="s">
        <v>1295</v>
      </c>
      <c r="AC104" s="12" t="s">
        <v>60</v>
      </c>
      <c r="AD104" s="12" t="s">
        <v>1296</v>
      </c>
      <c r="AE104" s="12" t="s">
        <v>148</v>
      </c>
      <c r="AF104" s="12" t="s">
        <v>63</v>
      </c>
      <c r="AG104" s="11" t="s">
        <v>1297</v>
      </c>
    </row>
    <row r="105" customFormat="false" ht="79.85" hidden="false" customHeight="false" outlineLevel="0" collapsed="false">
      <c r="A105" s="11" t="s">
        <v>1298</v>
      </c>
      <c r="B105" s="11" t="s">
        <v>1299</v>
      </c>
      <c r="C105" s="12" t="s">
        <v>1140</v>
      </c>
      <c r="D105" s="12" t="s">
        <v>36</v>
      </c>
      <c r="E105" s="11" t="s">
        <v>173</v>
      </c>
      <c r="F105" s="12" t="s">
        <v>1268</v>
      </c>
      <c r="G105" s="11" t="s">
        <v>1269</v>
      </c>
      <c r="H105" s="11" t="s">
        <v>1300</v>
      </c>
      <c r="I105" s="11" t="s">
        <v>1301</v>
      </c>
      <c r="J105" s="11" t="s">
        <v>1302</v>
      </c>
      <c r="K105" s="12" t="s">
        <v>126</v>
      </c>
      <c r="L105" s="11" t="s">
        <v>1303</v>
      </c>
      <c r="M105" s="12" t="s">
        <v>1273</v>
      </c>
      <c r="N105" s="11" t="s">
        <v>142</v>
      </c>
      <c r="O105" s="13"/>
      <c r="P105" s="11" t="s">
        <v>1304</v>
      </c>
      <c r="Q105" s="11" t="s">
        <v>48</v>
      </c>
      <c r="R105" s="12" t="s">
        <v>49</v>
      </c>
      <c r="S105" s="12" t="s">
        <v>50</v>
      </c>
      <c r="T105" s="11" t="s">
        <v>1305</v>
      </c>
      <c r="U105" s="11" t="s">
        <v>52</v>
      </c>
      <c r="V105" s="11" t="s">
        <v>1306</v>
      </c>
      <c r="W105" s="11" t="s">
        <v>48</v>
      </c>
      <c r="X105" s="11" t="s">
        <v>1307</v>
      </c>
      <c r="Y105" s="12" t="s">
        <v>79</v>
      </c>
      <c r="Z105" s="12" t="s">
        <v>1308</v>
      </c>
      <c r="AA105" s="11" t="s">
        <v>1309</v>
      </c>
      <c r="AB105" s="11"/>
      <c r="AC105" s="12" t="s">
        <v>60</v>
      </c>
      <c r="AD105" s="12" t="s">
        <v>1310</v>
      </c>
      <c r="AE105" s="12" t="s">
        <v>148</v>
      </c>
      <c r="AF105" s="12" t="s">
        <v>63</v>
      </c>
      <c r="AG105" s="11" t="s">
        <v>1311</v>
      </c>
    </row>
    <row r="106" customFormat="false" ht="91" hidden="false" customHeight="false" outlineLevel="0" collapsed="false">
      <c r="A106" s="11" t="s">
        <v>1312</v>
      </c>
      <c r="B106" s="11" t="s">
        <v>1313</v>
      </c>
      <c r="C106" s="12" t="s">
        <v>1140</v>
      </c>
      <c r="D106" s="12" t="s">
        <v>36</v>
      </c>
      <c r="E106" s="11" t="s">
        <v>120</v>
      </c>
      <c r="F106" s="12" t="s">
        <v>121</v>
      </c>
      <c r="G106" s="11" t="s">
        <v>1314</v>
      </c>
      <c r="H106" s="11" t="s">
        <v>1315</v>
      </c>
      <c r="I106" s="11" t="s">
        <v>1316</v>
      </c>
      <c r="J106" s="11" t="s">
        <v>1317</v>
      </c>
      <c r="K106" s="12" t="s">
        <v>126</v>
      </c>
      <c r="L106" s="11" t="s">
        <v>1318</v>
      </c>
      <c r="M106" s="12" t="s">
        <v>165</v>
      </c>
      <c r="N106" s="11" t="s">
        <v>74</v>
      </c>
      <c r="O106" s="13"/>
      <c r="P106" s="11" t="s">
        <v>1319</v>
      </c>
      <c r="Q106" s="11" t="s">
        <v>1146</v>
      </c>
      <c r="R106" s="12" t="s">
        <v>637</v>
      </c>
      <c r="S106" s="12" t="s">
        <v>50</v>
      </c>
      <c r="T106" s="11" t="s">
        <v>1320</v>
      </c>
      <c r="U106" s="11" t="s">
        <v>52</v>
      </c>
      <c r="V106" s="11" t="s">
        <v>1321</v>
      </c>
      <c r="W106" s="11" t="s">
        <v>48</v>
      </c>
      <c r="X106" s="11" t="s">
        <v>1322</v>
      </c>
      <c r="Y106" s="12" t="s">
        <v>79</v>
      </c>
      <c r="Z106" s="12" t="s">
        <v>57</v>
      </c>
      <c r="AA106" s="11" t="s">
        <v>1323</v>
      </c>
      <c r="AB106" s="11"/>
      <c r="AC106" s="12" t="s">
        <v>60</v>
      </c>
      <c r="AD106" s="12" t="s">
        <v>1324</v>
      </c>
      <c r="AE106" s="12" t="s">
        <v>148</v>
      </c>
      <c r="AF106" s="12" t="s">
        <v>63</v>
      </c>
      <c r="AG106" s="11" t="s">
        <v>1325</v>
      </c>
    </row>
    <row r="107" customFormat="false" ht="68.65" hidden="false" customHeight="false" outlineLevel="0" collapsed="false">
      <c r="A107" s="11" t="s">
        <v>1326</v>
      </c>
      <c r="B107" s="11" t="s">
        <v>1327</v>
      </c>
      <c r="C107" s="12" t="s">
        <v>1140</v>
      </c>
      <c r="D107" s="12" t="s">
        <v>36</v>
      </c>
      <c r="E107" s="11" t="s">
        <v>1328</v>
      </c>
      <c r="F107" s="12" t="s">
        <v>201</v>
      </c>
      <c r="G107" s="11" t="s">
        <v>1329</v>
      </c>
      <c r="H107" s="11" t="s">
        <v>513</v>
      </c>
      <c r="I107" s="11" t="s">
        <v>1330</v>
      </c>
      <c r="J107" s="11" t="s">
        <v>1331</v>
      </c>
      <c r="K107" s="12" t="s">
        <v>126</v>
      </c>
      <c r="L107" s="11" t="s">
        <v>1332</v>
      </c>
      <c r="M107" s="12" t="s">
        <v>1333</v>
      </c>
      <c r="N107" s="11" t="s">
        <v>181</v>
      </c>
      <c r="O107" s="13"/>
      <c r="P107" s="11" t="s">
        <v>1334</v>
      </c>
      <c r="Q107" s="11" t="s">
        <v>1290</v>
      </c>
      <c r="R107" s="12" t="s">
        <v>637</v>
      </c>
      <c r="S107" s="12" t="s">
        <v>130</v>
      </c>
      <c r="T107" s="11" t="s">
        <v>1335</v>
      </c>
      <c r="U107" s="11" t="s">
        <v>52</v>
      </c>
      <c r="V107" s="11" t="s">
        <v>1336</v>
      </c>
      <c r="W107" s="11" t="s">
        <v>48</v>
      </c>
      <c r="X107" s="11" t="s">
        <v>1337</v>
      </c>
      <c r="Y107" s="12" t="s">
        <v>79</v>
      </c>
      <c r="Z107" s="12" t="s">
        <v>57</v>
      </c>
      <c r="AA107" s="11" t="s">
        <v>1338</v>
      </c>
      <c r="AB107" s="11" t="s">
        <v>1339</v>
      </c>
      <c r="AC107" s="12" t="s">
        <v>60</v>
      </c>
      <c r="AD107" s="12" t="s">
        <v>1340</v>
      </c>
      <c r="AE107" s="12" t="s">
        <v>62</v>
      </c>
      <c r="AF107" s="12" t="s">
        <v>63</v>
      </c>
      <c r="AG107" s="11" t="s">
        <v>1341</v>
      </c>
    </row>
    <row r="108" customFormat="false" ht="68.65" hidden="false" customHeight="false" outlineLevel="0" collapsed="false">
      <c r="A108" s="11" t="s">
        <v>1342</v>
      </c>
      <c r="B108" s="11" t="s">
        <v>1343</v>
      </c>
      <c r="C108" s="12" t="s">
        <v>1140</v>
      </c>
      <c r="D108" s="12" t="s">
        <v>36</v>
      </c>
      <c r="E108" s="11" t="s">
        <v>120</v>
      </c>
      <c r="F108" s="12" t="s">
        <v>121</v>
      </c>
      <c r="G108" s="11" t="s">
        <v>175</v>
      </c>
      <c r="H108" s="11" t="s">
        <v>1315</v>
      </c>
      <c r="I108" s="11" t="s">
        <v>1344</v>
      </c>
      <c r="J108" s="11" t="s">
        <v>1345</v>
      </c>
      <c r="K108" s="12" t="s">
        <v>126</v>
      </c>
      <c r="L108" s="11" t="s">
        <v>1346</v>
      </c>
      <c r="M108" s="12" t="s">
        <v>1347</v>
      </c>
      <c r="N108" s="11" t="s">
        <v>142</v>
      </c>
      <c r="O108" s="13"/>
      <c r="P108" s="11" t="s">
        <v>1348</v>
      </c>
      <c r="Q108" s="11" t="s">
        <v>48</v>
      </c>
      <c r="R108" s="12" t="s">
        <v>49</v>
      </c>
      <c r="S108" s="12" t="s">
        <v>50</v>
      </c>
      <c r="T108" s="11" t="s">
        <v>1349</v>
      </c>
      <c r="U108" s="11" t="s">
        <v>263</v>
      </c>
      <c r="V108" s="11" t="s">
        <v>1350</v>
      </c>
      <c r="W108" s="11" t="s">
        <v>48</v>
      </c>
      <c r="X108" s="11" t="s">
        <v>1351</v>
      </c>
      <c r="Y108" s="12" t="s">
        <v>79</v>
      </c>
      <c r="Z108" s="12" t="s">
        <v>1352</v>
      </c>
      <c r="AA108" s="11" t="s">
        <v>1353</v>
      </c>
      <c r="AB108" s="11"/>
      <c r="AC108" s="12" t="s">
        <v>60</v>
      </c>
      <c r="AD108" s="12" t="s">
        <v>1354</v>
      </c>
      <c r="AE108" s="12" t="s">
        <v>148</v>
      </c>
      <c r="AF108" s="12" t="s">
        <v>63</v>
      </c>
      <c r="AG108" s="11" t="s">
        <v>1355</v>
      </c>
    </row>
    <row r="109" customFormat="false" ht="91" hidden="false" customHeight="false" outlineLevel="0" collapsed="false">
      <c r="A109" s="11" t="s">
        <v>1356</v>
      </c>
      <c r="B109" s="11" t="s">
        <v>1357</v>
      </c>
      <c r="C109" s="12" t="s">
        <v>1140</v>
      </c>
      <c r="D109" s="12" t="s">
        <v>36</v>
      </c>
      <c r="E109" s="11" t="s">
        <v>296</v>
      </c>
      <c r="F109" s="12" t="s">
        <v>121</v>
      </c>
      <c r="G109" s="11" t="s">
        <v>1358</v>
      </c>
      <c r="H109" s="11" t="s">
        <v>86</v>
      </c>
      <c r="I109" s="11" t="s">
        <v>1359</v>
      </c>
      <c r="J109" s="11" t="s">
        <v>1360</v>
      </c>
      <c r="K109" s="12" t="s">
        <v>126</v>
      </c>
      <c r="L109" s="11" t="s">
        <v>1361</v>
      </c>
      <c r="M109" s="12" t="s">
        <v>1157</v>
      </c>
      <c r="N109" s="11" t="s">
        <v>74</v>
      </c>
      <c r="O109" s="13"/>
      <c r="P109" s="11" t="s">
        <v>1362</v>
      </c>
      <c r="Q109" s="11" t="s">
        <v>48</v>
      </c>
      <c r="R109" s="12" t="s">
        <v>49</v>
      </c>
      <c r="S109" s="12" t="s">
        <v>50</v>
      </c>
      <c r="T109" s="11" t="s">
        <v>1363</v>
      </c>
      <c r="U109" s="11" t="s">
        <v>52</v>
      </c>
      <c r="V109" s="11" t="s">
        <v>57</v>
      </c>
      <c r="W109" s="11" t="s">
        <v>48</v>
      </c>
      <c r="X109" s="11" t="s">
        <v>1364</v>
      </c>
      <c r="Y109" s="12" t="s">
        <v>79</v>
      </c>
      <c r="Z109" s="12" t="s">
        <v>1365</v>
      </c>
      <c r="AA109" s="11" t="s">
        <v>1366</v>
      </c>
      <c r="AB109" s="11"/>
      <c r="AC109" s="12" t="s">
        <v>60</v>
      </c>
      <c r="AD109" s="12" t="s">
        <v>1367</v>
      </c>
      <c r="AE109" s="12" t="s">
        <v>148</v>
      </c>
      <c r="AF109" s="12" t="s">
        <v>63</v>
      </c>
      <c r="AG109" s="11" t="s">
        <v>1368</v>
      </c>
    </row>
    <row r="110" customFormat="false" ht="113.4" hidden="false" customHeight="false" outlineLevel="0" collapsed="false">
      <c r="A110" s="14" t="s">
        <v>1369</v>
      </c>
      <c r="B110" s="14" t="s">
        <v>1370</v>
      </c>
      <c r="C110" s="15" t="s">
        <v>1371</v>
      </c>
      <c r="D110" s="15" t="s">
        <v>36</v>
      </c>
      <c r="E110" s="14" t="s">
        <v>103</v>
      </c>
      <c r="F110" s="15" t="s">
        <v>121</v>
      </c>
      <c r="G110" s="14" t="s">
        <v>214</v>
      </c>
      <c r="H110" s="14" t="s">
        <v>1372</v>
      </c>
      <c r="I110" s="14" t="s">
        <v>1373</v>
      </c>
      <c r="J110" s="14" t="s">
        <v>1374</v>
      </c>
      <c r="K110" s="15" t="s">
        <v>108</v>
      </c>
      <c r="L110" s="14" t="s">
        <v>1375</v>
      </c>
      <c r="M110" s="15" t="s">
        <v>1157</v>
      </c>
      <c r="N110" s="14" t="s">
        <v>46</v>
      </c>
      <c r="O110" s="16"/>
      <c r="P110" s="14" t="s">
        <v>1376</v>
      </c>
      <c r="Q110" s="14" t="s">
        <v>48</v>
      </c>
      <c r="R110" s="15" t="s">
        <v>49</v>
      </c>
      <c r="S110" s="15" t="s">
        <v>130</v>
      </c>
      <c r="T110" s="14"/>
      <c r="U110" s="14" t="s">
        <v>263</v>
      </c>
      <c r="V110" s="14" t="s">
        <v>1377</v>
      </c>
      <c r="W110" s="14" t="s">
        <v>54</v>
      </c>
      <c r="X110" s="14" t="s">
        <v>1378</v>
      </c>
      <c r="Y110" s="15" t="s">
        <v>79</v>
      </c>
      <c r="Z110" s="15" t="s">
        <v>57</v>
      </c>
      <c r="AA110" s="14" t="s">
        <v>1379</v>
      </c>
      <c r="AB110" s="14"/>
      <c r="AC110" s="15" t="s">
        <v>60</v>
      </c>
      <c r="AD110" s="15" t="s">
        <v>1380</v>
      </c>
      <c r="AE110" s="15" t="s">
        <v>148</v>
      </c>
      <c r="AF110" s="15" t="s">
        <v>63</v>
      </c>
      <c r="AG110" s="14"/>
    </row>
    <row r="111" customFormat="false" ht="91" hidden="false" customHeight="false" outlineLevel="0" collapsed="false">
      <c r="A111" s="14" t="s">
        <v>1381</v>
      </c>
      <c r="B111" s="14" t="s">
        <v>1382</v>
      </c>
      <c r="C111" s="15" t="s">
        <v>1371</v>
      </c>
      <c r="D111" s="15" t="s">
        <v>36</v>
      </c>
      <c r="E111" s="14" t="s">
        <v>1328</v>
      </c>
      <c r="F111" s="15" t="s">
        <v>201</v>
      </c>
      <c r="G111" s="14" t="s">
        <v>1383</v>
      </c>
      <c r="H111" s="14" t="s">
        <v>513</v>
      </c>
      <c r="I111" s="14" t="s">
        <v>1384</v>
      </c>
      <c r="J111" s="14" t="s">
        <v>1385</v>
      </c>
      <c r="K111" s="15" t="s">
        <v>126</v>
      </c>
      <c r="L111" s="14" t="s">
        <v>1386</v>
      </c>
      <c r="M111" s="15" t="s">
        <v>1387</v>
      </c>
      <c r="N111" s="14" t="s">
        <v>74</v>
      </c>
      <c r="O111" s="16"/>
      <c r="P111" s="14" t="s">
        <v>1388</v>
      </c>
      <c r="Q111" s="14" t="s">
        <v>1146</v>
      </c>
      <c r="R111" s="15" t="s">
        <v>1291</v>
      </c>
      <c r="S111" s="15" t="s">
        <v>130</v>
      </c>
      <c r="T111" s="14" t="s">
        <v>1389</v>
      </c>
      <c r="U111" s="14" t="s">
        <v>52</v>
      </c>
      <c r="V111" s="14" t="s">
        <v>1390</v>
      </c>
      <c r="W111" s="14" t="s">
        <v>48</v>
      </c>
      <c r="X111" s="14" t="s">
        <v>1391</v>
      </c>
      <c r="Y111" s="15" t="s">
        <v>79</v>
      </c>
      <c r="Z111" s="15" t="s">
        <v>57</v>
      </c>
      <c r="AA111" s="14" t="s">
        <v>1392</v>
      </c>
      <c r="AB111" s="14" t="s">
        <v>1393</v>
      </c>
      <c r="AC111" s="15" t="s">
        <v>60</v>
      </c>
      <c r="AD111" s="15" t="s">
        <v>1394</v>
      </c>
      <c r="AE111" s="15" t="s">
        <v>62</v>
      </c>
      <c r="AF111" s="15" t="s">
        <v>63</v>
      </c>
      <c r="AG111" s="14" t="s">
        <v>1395</v>
      </c>
    </row>
    <row r="112" customFormat="false" ht="68.65" hidden="false" customHeight="false" outlineLevel="0" collapsed="false">
      <c r="A112" s="14" t="s">
        <v>1396</v>
      </c>
      <c r="B112" s="14" t="s">
        <v>1397</v>
      </c>
      <c r="C112" s="15" t="s">
        <v>1371</v>
      </c>
      <c r="D112" s="15" t="s">
        <v>36</v>
      </c>
      <c r="E112" s="14" t="s">
        <v>103</v>
      </c>
      <c r="F112" s="15" t="s">
        <v>104</v>
      </c>
      <c r="G112" s="14" t="s">
        <v>239</v>
      </c>
      <c r="H112" s="14" t="s">
        <v>1398</v>
      </c>
      <c r="I112" s="14" t="s">
        <v>1399</v>
      </c>
      <c r="J112" s="14" t="s">
        <v>1400</v>
      </c>
      <c r="K112" s="15" t="s">
        <v>108</v>
      </c>
      <c r="L112" s="14" t="s">
        <v>1401</v>
      </c>
      <c r="M112" s="15" t="s">
        <v>720</v>
      </c>
      <c r="N112" s="14" t="s">
        <v>74</v>
      </c>
      <c r="O112" s="16" t="n">
        <v>10</v>
      </c>
      <c r="P112" s="14" t="s">
        <v>1402</v>
      </c>
      <c r="Q112" s="14" t="s">
        <v>48</v>
      </c>
      <c r="R112" s="15" t="s">
        <v>49</v>
      </c>
      <c r="S112" s="15" t="s">
        <v>130</v>
      </c>
      <c r="T112" s="14"/>
      <c r="U112" s="14" t="s">
        <v>52</v>
      </c>
      <c r="V112" s="14" t="s">
        <v>1403</v>
      </c>
      <c r="W112" s="14" t="s">
        <v>317</v>
      </c>
      <c r="X112" s="14" t="s">
        <v>1404</v>
      </c>
      <c r="Y112" s="15" t="s">
        <v>79</v>
      </c>
      <c r="Z112" s="15" t="s">
        <v>57</v>
      </c>
      <c r="AA112" s="14" t="s">
        <v>1405</v>
      </c>
      <c r="AB112" s="14"/>
      <c r="AC112" s="15" t="s">
        <v>60</v>
      </c>
      <c r="AD112" s="15" t="s">
        <v>1406</v>
      </c>
      <c r="AE112" s="15" t="s">
        <v>148</v>
      </c>
      <c r="AF112" s="15" t="s">
        <v>63</v>
      </c>
      <c r="AG112" s="14"/>
    </row>
    <row r="113" customFormat="false" ht="79.85" hidden="false" customHeight="false" outlineLevel="0" collapsed="false">
      <c r="A113" s="14" t="s">
        <v>1407</v>
      </c>
      <c r="B113" s="14" t="s">
        <v>1408</v>
      </c>
      <c r="C113" s="15" t="s">
        <v>1371</v>
      </c>
      <c r="D113" s="15" t="s">
        <v>36</v>
      </c>
      <c r="E113" s="14" t="s">
        <v>1409</v>
      </c>
      <c r="F113" s="15" t="s">
        <v>201</v>
      </c>
      <c r="G113" s="14" t="s">
        <v>365</v>
      </c>
      <c r="H113" s="14" t="s">
        <v>1410</v>
      </c>
      <c r="I113" s="14" t="s">
        <v>1411</v>
      </c>
      <c r="J113" s="14" t="s">
        <v>1412</v>
      </c>
      <c r="K113" s="15" t="s">
        <v>126</v>
      </c>
      <c r="L113" s="14" t="s">
        <v>1413</v>
      </c>
      <c r="M113" s="15" t="s">
        <v>1414</v>
      </c>
      <c r="N113" s="14" t="s">
        <v>46</v>
      </c>
      <c r="O113" s="16" t="n">
        <v>5</v>
      </c>
      <c r="P113" s="14" t="s">
        <v>1415</v>
      </c>
      <c r="Q113" s="14" t="s">
        <v>48</v>
      </c>
      <c r="R113" s="15" t="s">
        <v>49</v>
      </c>
      <c r="S113" s="15" t="s">
        <v>130</v>
      </c>
      <c r="T113" s="14"/>
      <c r="U113" s="14" t="s">
        <v>52</v>
      </c>
      <c r="V113" s="14" t="s">
        <v>1416</v>
      </c>
      <c r="W113" s="14" t="s">
        <v>54</v>
      </c>
      <c r="X113" s="14" t="s">
        <v>1417</v>
      </c>
      <c r="Y113" s="15" t="s">
        <v>79</v>
      </c>
      <c r="Z113" s="15" t="s">
        <v>57</v>
      </c>
      <c r="AA113" s="14" t="s">
        <v>1418</v>
      </c>
      <c r="AB113" s="14"/>
      <c r="AC113" s="15" t="s">
        <v>60</v>
      </c>
      <c r="AD113" s="15" t="s">
        <v>1419</v>
      </c>
      <c r="AE113" s="15" t="s">
        <v>148</v>
      </c>
      <c r="AF113" s="15" t="s">
        <v>63</v>
      </c>
      <c r="AG113" s="14"/>
    </row>
    <row r="114" customFormat="false" ht="68.65" hidden="false" customHeight="false" outlineLevel="0" collapsed="false">
      <c r="A114" s="14" t="s">
        <v>1420</v>
      </c>
      <c r="B114" s="14" t="s">
        <v>1408</v>
      </c>
      <c r="C114" s="15" t="s">
        <v>1371</v>
      </c>
      <c r="D114" s="15" t="s">
        <v>36</v>
      </c>
      <c r="E114" s="14" t="s">
        <v>364</v>
      </c>
      <c r="F114" s="15" t="s">
        <v>201</v>
      </c>
      <c r="G114" s="14" t="s">
        <v>202</v>
      </c>
      <c r="H114" s="14" t="s">
        <v>86</v>
      </c>
      <c r="I114" s="14" t="s">
        <v>1421</v>
      </c>
      <c r="J114" s="14" t="s">
        <v>1422</v>
      </c>
      <c r="K114" s="15" t="s">
        <v>126</v>
      </c>
      <c r="L114" s="14" t="s">
        <v>1423</v>
      </c>
      <c r="M114" s="15" t="s">
        <v>1424</v>
      </c>
      <c r="N114" s="14" t="s">
        <v>46</v>
      </c>
      <c r="O114" s="16"/>
      <c r="P114" s="14" t="s">
        <v>1425</v>
      </c>
      <c r="Q114" s="14" t="s">
        <v>48</v>
      </c>
      <c r="R114" s="15" t="s">
        <v>49</v>
      </c>
      <c r="S114" s="15" t="s">
        <v>130</v>
      </c>
      <c r="T114" s="14"/>
      <c r="U114" s="14" t="s">
        <v>52</v>
      </c>
      <c r="V114" s="14" t="s">
        <v>1426</v>
      </c>
      <c r="W114" s="14" t="s">
        <v>54</v>
      </c>
      <c r="X114" s="14" t="s">
        <v>1427</v>
      </c>
      <c r="Y114" s="15" t="s">
        <v>79</v>
      </c>
      <c r="Z114" s="15" t="s">
        <v>1428</v>
      </c>
      <c r="AA114" s="14" t="s">
        <v>1429</v>
      </c>
      <c r="AB114" s="14"/>
      <c r="AC114" s="15" t="s">
        <v>60</v>
      </c>
      <c r="AD114" s="15" t="s">
        <v>1430</v>
      </c>
      <c r="AE114" s="15" t="s">
        <v>148</v>
      </c>
      <c r="AF114" s="15" t="s">
        <v>63</v>
      </c>
      <c r="AG114" s="14"/>
    </row>
    <row r="115" customFormat="false" ht="46.25" hidden="false" customHeight="false" outlineLevel="0" collapsed="false">
      <c r="A115" s="14" t="s">
        <v>1431</v>
      </c>
      <c r="B115" s="14" t="s">
        <v>1408</v>
      </c>
      <c r="C115" s="15" t="s">
        <v>1371</v>
      </c>
      <c r="D115" s="15" t="s">
        <v>36</v>
      </c>
      <c r="E115" s="14" t="s">
        <v>103</v>
      </c>
      <c r="F115" s="15" t="s">
        <v>104</v>
      </c>
      <c r="G115" s="14" t="s">
        <v>214</v>
      </c>
      <c r="H115" s="14" t="s">
        <v>228</v>
      </c>
      <c r="I115" s="14" t="s">
        <v>1432</v>
      </c>
      <c r="J115" s="14" t="s">
        <v>1433</v>
      </c>
      <c r="K115" s="15" t="s">
        <v>108</v>
      </c>
      <c r="L115" s="14" t="s">
        <v>1434</v>
      </c>
      <c r="M115" s="15" t="s">
        <v>231</v>
      </c>
      <c r="N115" s="14" t="s">
        <v>46</v>
      </c>
      <c r="O115" s="16"/>
      <c r="P115" s="14" t="s">
        <v>1435</v>
      </c>
      <c r="Q115" s="14" t="s">
        <v>48</v>
      </c>
      <c r="R115" s="15" t="s">
        <v>49</v>
      </c>
      <c r="S115" s="15" t="s">
        <v>50</v>
      </c>
      <c r="T115" s="14" t="s">
        <v>1436</v>
      </c>
      <c r="U115" s="14" t="s">
        <v>52</v>
      </c>
      <c r="V115" s="14" t="s">
        <v>57</v>
      </c>
      <c r="W115" s="14" t="s">
        <v>54</v>
      </c>
      <c r="X115" s="14" t="s">
        <v>1437</v>
      </c>
      <c r="Y115" s="15" t="s">
        <v>79</v>
      </c>
      <c r="Z115" s="15" t="s">
        <v>57</v>
      </c>
      <c r="AA115" s="14" t="s">
        <v>1438</v>
      </c>
      <c r="AB115" s="14"/>
      <c r="AC115" s="15" t="s">
        <v>60</v>
      </c>
      <c r="AD115" s="15" t="s">
        <v>1439</v>
      </c>
      <c r="AE115" s="15" t="s">
        <v>148</v>
      </c>
      <c r="AF115" s="15" t="s">
        <v>63</v>
      </c>
      <c r="AG115" s="14"/>
    </row>
    <row r="116" customFormat="false" ht="124.6" hidden="false" customHeight="false" outlineLevel="0" collapsed="false">
      <c r="A116" s="14" t="s">
        <v>1440</v>
      </c>
      <c r="B116" s="14" t="s">
        <v>1408</v>
      </c>
      <c r="C116" s="15" t="s">
        <v>1371</v>
      </c>
      <c r="D116" s="15" t="s">
        <v>36</v>
      </c>
      <c r="E116" s="14" t="s">
        <v>137</v>
      </c>
      <c r="F116" s="15" t="s">
        <v>201</v>
      </c>
      <c r="G116" s="14" t="s">
        <v>1329</v>
      </c>
      <c r="H116" s="14" t="s">
        <v>228</v>
      </c>
      <c r="I116" s="14" t="s">
        <v>1441</v>
      </c>
      <c r="J116" s="14" t="s">
        <v>1442</v>
      </c>
      <c r="K116" s="15" t="s">
        <v>126</v>
      </c>
      <c r="L116" s="14" t="s">
        <v>1443</v>
      </c>
      <c r="M116" s="15" t="s">
        <v>1259</v>
      </c>
      <c r="N116" s="14" t="s">
        <v>74</v>
      </c>
      <c r="O116" s="16" t="n">
        <v>5</v>
      </c>
      <c r="P116" s="14" t="s">
        <v>1444</v>
      </c>
      <c r="Q116" s="14" t="s">
        <v>636</v>
      </c>
      <c r="R116" s="15" t="s">
        <v>637</v>
      </c>
      <c r="S116" s="15" t="s">
        <v>130</v>
      </c>
      <c r="T116" s="14"/>
      <c r="U116" s="14" t="s">
        <v>52</v>
      </c>
      <c r="V116" s="14" t="s">
        <v>57</v>
      </c>
      <c r="W116" s="14" t="s">
        <v>54</v>
      </c>
      <c r="X116" s="14" t="s">
        <v>1445</v>
      </c>
      <c r="Y116" s="15" t="s">
        <v>79</v>
      </c>
      <c r="Z116" s="15" t="s">
        <v>57</v>
      </c>
      <c r="AA116" s="14" t="s">
        <v>1446</v>
      </c>
      <c r="AB116" s="14"/>
      <c r="AC116" s="15" t="s">
        <v>60</v>
      </c>
      <c r="AD116" s="15" t="s">
        <v>1447</v>
      </c>
      <c r="AE116" s="15" t="s">
        <v>148</v>
      </c>
      <c r="AF116" s="15" t="s">
        <v>63</v>
      </c>
      <c r="AG116" s="14"/>
    </row>
    <row r="117" customFormat="false" ht="68.65" hidden="false" customHeight="false" outlineLevel="0" collapsed="false">
      <c r="A117" s="14" t="s">
        <v>1448</v>
      </c>
      <c r="B117" s="14" t="s">
        <v>1449</v>
      </c>
      <c r="C117" s="15" t="s">
        <v>1371</v>
      </c>
      <c r="D117" s="15" t="s">
        <v>36</v>
      </c>
      <c r="E117" s="14" t="s">
        <v>1450</v>
      </c>
      <c r="F117" s="15" t="s">
        <v>201</v>
      </c>
      <c r="G117" s="14" t="s">
        <v>1220</v>
      </c>
      <c r="H117" s="14" t="s">
        <v>86</v>
      </c>
      <c r="I117" s="14" t="s">
        <v>1451</v>
      </c>
      <c r="J117" s="14" t="s">
        <v>1452</v>
      </c>
      <c r="K117" s="15" t="s">
        <v>126</v>
      </c>
      <c r="L117" s="14" t="s">
        <v>1453</v>
      </c>
      <c r="M117" s="15" t="s">
        <v>1259</v>
      </c>
      <c r="N117" s="14" t="s">
        <v>46</v>
      </c>
      <c r="O117" s="16"/>
      <c r="P117" s="14" t="s">
        <v>1454</v>
      </c>
      <c r="Q117" s="14" t="s">
        <v>48</v>
      </c>
      <c r="R117" s="15" t="s">
        <v>49</v>
      </c>
      <c r="S117" s="15" t="s">
        <v>50</v>
      </c>
      <c r="T117" s="14" t="s">
        <v>1455</v>
      </c>
      <c r="U117" s="14" t="s">
        <v>52</v>
      </c>
      <c r="V117" s="14" t="s">
        <v>1456</v>
      </c>
      <c r="W117" s="14" t="s">
        <v>54</v>
      </c>
      <c r="X117" s="14" t="s">
        <v>1457</v>
      </c>
      <c r="Y117" s="15" t="s">
        <v>79</v>
      </c>
      <c r="Z117" s="15" t="s">
        <v>57</v>
      </c>
      <c r="AA117" s="14" t="s">
        <v>1458</v>
      </c>
      <c r="AB117" s="14"/>
      <c r="AC117" s="15" t="s">
        <v>60</v>
      </c>
      <c r="AD117" s="15" t="s">
        <v>1459</v>
      </c>
      <c r="AE117" s="15" t="s">
        <v>148</v>
      </c>
      <c r="AF117" s="15" t="s">
        <v>63</v>
      </c>
      <c r="AG117" s="14"/>
    </row>
    <row r="118" customFormat="false" ht="79.85" hidden="false" customHeight="false" outlineLevel="0" collapsed="false">
      <c r="A118" s="14" t="s">
        <v>1460</v>
      </c>
      <c r="B118" s="14" t="s">
        <v>1449</v>
      </c>
      <c r="C118" s="15" t="s">
        <v>1371</v>
      </c>
      <c r="D118" s="15" t="s">
        <v>36</v>
      </c>
      <c r="E118" s="14" t="s">
        <v>1233</v>
      </c>
      <c r="F118" s="15" t="s">
        <v>121</v>
      </c>
      <c r="G118" s="14" t="s">
        <v>175</v>
      </c>
      <c r="H118" s="14" t="s">
        <v>228</v>
      </c>
      <c r="I118" s="14" t="s">
        <v>1461</v>
      </c>
      <c r="J118" s="14" t="s">
        <v>1462</v>
      </c>
      <c r="K118" s="15" t="s">
        <v>126</v>
      </c>
      <c r="L118" s="14" t="s">
        <v>1463</v>
      </c>
      <c r="M118" s="15" t="s">
        <v>1464</v>
      </c>
      <c r="N118" s="14" t="s">
        <v>46</v>
      </c>
      <c r="O118" s="16"/>
      <c r="P118" s="14" t="s">
        <v>1465</v>
      </c>
      <c r="Q118" s="14" t="s">
        <v>48</v>
      </c>
      <c r="R118" s="15" t="s">
        <v>49</v>
      </c>
      <c r="S118" s="15" t="s">
        <v>50</v>
      </c>
      <c r="T118" s="14" t="s">
        <v>1466</v>
      </c>
      <c r="U118" s="14" t="s">
        <v>52</v>
      </c>
      <c r="V118" s="14" t="s">
        <v>1467</v>
      </c>
      <c r="W118" s="14" t="s">
        <v>54</v>
      </c>
      <c r="X118" s="14" t="s">
        <v>1468</v>
      </c>
      <c r="Y118" s="15" t="s">
        <v>79</v>
      </c>
      <c r="Z118" s="15" t="s">
        <v>57</v>
      </c>
      <c r="AA118" s="14" t="s">
        <v>1469</v>
      </c>
      <c r="AB118" s="14"/>
      <c r="AC118" s="15" t="s">
        <v>60</v>
      </c>
      <c r="AD118" s="15" t="s">
        <v>1470</v>
      </c>
      <c r="AE118" s="15" t="s">
        <v>148</v>
      </c>
      <c r="AF118" s="15" t="s">
        <v>63</v>
      </c>
      <c r="AG118" s="14"/>
    </row>
    <row r="119" customFormat="false" ht="79.85" hidden="false" customHeight="false" outlineLevel="0" collapsed="false">
      <c r="A119" s="14" t="s">
        <v>1471</v>
      </c>
      <c r="B119" s="14" t="s">
        <v>1472</v>
      </c>
      <c r="C119" s="15" t="s">
        <v>1371</v>
      </c>
      <c r="D119" s="15" t="s">
        <v>36</v>
      </c>
      <c r="E119" s="14" t="s">
        <v>103</v>
      </c>
      <c r="F119" s="15" t="s">
        <v>121</v>
      </c>
      <c r="G119" s="14" t="s">
        <v>214</v>
      </c>
      <c r="H119" s="14" t="s">
        <v>1473</v>
      </c>
      <c r="I119" s="14" t="s">
        <v>1474</v>
      </c>
      <c r="J119" s="14" t="s">
        <v>1475</v>
      </c>
      <c r="K119" s="15" t="s">
        <v>108</v>
      </c>
      <c r="L119" s="14" t="s">
        <v>1476</v>
      </c>
      <c r="M119" s="15" t="s">
        <v>231</v>
      </c>
      <c r="N119" s="14" t="s">
        <v>46</v>
      </c>
      <c r="O119" s="16"/>
      <c r="P119" s="14" t="s">
        <v>1477</v>
      </c>
      <c r="Q119" s="14" t="s">
        <v>48</v>
      </c>
      <c r="R119" s="15" t="s">
        <v>49</v>
      </c>
      <c r="S119" s="15" t="s">
        <v>130</v>
      </c>
      <c r="T119" s="14"/>
      <c r="U119" s="14" t="s">
        <v>263</v>
      </c>
      <c r="V119" s="14" t="s">
        <v>57</v>
      </c>
      <c r="W119" s="14" t="s">
        <v>54</v>
      </c>
      <c r="X119" s="14" t="s">
        <v>1478</v>
      </c>
      <c r="Y119" s="15" t="s">
        <v>79</v>
      </c>
      <c r="Z119" s="15" t="s">
        <v>1479</v>
      </c>
      <c r="AA119" s="14" t="s">
        <v>1480</v>
      </c>
      <c r="AB119" s="14"/>
      <c r="AC119" s="15" t="s">
        <v>60</v>
      </c>
      <c r="AD119" s="15" t="s">
        <v>1481</v>
      </c>
      <c r="AE119" s="15" t="s">
        <v>148</v>
      </c>
      <c r="AF119" s="15" t="s">
        <v>63</v>
      </c>
      <c r="AG119" s="14"/>
    </row>
    <row r="120" customFormat="false" ht="79.85" hidden="false" customHeight="false" outlineLevel="0" collapsed="false">
      <c r="A120" s="14" t="s">
        <v>1482</v>
      </c>
      <c r="B120" s="14" t="s">
        <v>1483</v>
      </c>
      <c r="C120" s="15" t="s">
        <v>1371</v>
      </c>
      <c r="D120" s="15" t="s">
        <v>36</v>
      </c>
      <c r="E120" s="14" t="s">
        <v>103</v>
      </c>
      <c r="F120" s="15" t="s">
        <v>121</v>
      </c>
      <c r="G120" s="14" t="s">
        <v>1484</v>
      </c>
      <c r="H120" s="14" t="s">
        <v>228</v>
      </c>
      <c r="I120" s="14" t="s">
        <v>1485</v>
      </c>
      <c r="J120" s="14" t="s">
        <v>1486</v>
      </c>
      <c r="K120" s="15" t="s">
        <v>108</v>
      </c>
      <c r="L120" s="14" t="s">
        <v>1487</v>
      </c>
      <c r="M120" s="15" t="s">
        <v>1259</v>
      </c>
      <c r="N120" s="14" t="s">
        <v>46</v>
      </c>
      <c r="O120" s="16"/>
      <c r="P120" s="14" t="s">
        <v>1488</v>
      </c>
      <c r="Q120" s="14" t="s">
        <v>48</v>
      </c>
      <c r="R120" s="15" t="s">
        <v>49</v>
      </c>
      <c r="S120" s="15" t="s">
        <v>50</v>
      </c>
      <c r="T120" s="14" t="s">
        <v>1489</v>
      </c>
      <c r="U120" s="14" t="s">
        <v>52</v>
      </c>
      <c r="V120" s="14" t="s">
        <v>1490</v>
      </c>
      <c r="W120" s="14" t="s">
        <v>54</v>
      </c>
      <c r="X120" s="14" t="s">
        <v>1491</v>
      </c>
      <c r="Y120" s="15" t="s">
        <v>79</v>
      </c>
      <c r="Z120" s="15" t="s">
        <v>57</v>
      </c>
      <c r="AA120" s="14" t="s">
        <v>1492</v>
      </c>
      <c r="AB120" s="14"/>
      <c r="AC120" s="15" t="s">
        <v>60</v>
      </c>
      <c r="AD120" s="15" t="s">
        <v>1493</v>
      </c>
      <c r="AE120" s="15" t="s">
        <v>148</v>
      </c>
      <c r="AF120" s="15" t="s">
        <v>63</v>
      </c>
      <c r="AG120" s="14"/>
    </row>
    <row r="121" customFormat="false" ht="113.4" hidden="false" customHeight="false" outlineLevel="0" collapsed="false">
      <c r="A121" s="14" t="s">
        <v>1494</v>
      </c>
      <c r="B121" s="14" t="s">
        <v>1495</v>
      </c>
      <c r="C121" s="15" t="s">
        <v>1371</v>
      </c>
      <c r="D121" s="15" t="s">
        <v>36</v>
      </c>
      <c r="E121" s="14" t="s">
        <v>103</v>
      </c>
      <c r="F121" s="15" t="s">
        <v>201</v>
      </c>
      <c r="G121" s="14" t="s">
        <v>1496</v>
      </c>
      <c r="H121" s="14" t="s">
        <v>228</v>
      </c>
      <c r="I121" s="14" t="s">
        <v>1497</v>
      </c>
      <c r="J121" s="14" t="s">
        <v>1498</v>
      </c>
      <c r="K121" s="15" t="s">
        <v>126</v>
      </c>
      <c r="L121" s="14" t="s">
        <v>1499</v>
      </c>
      <c r="M121" s="15" t="s">
        <v>1500</v>
      </c>
      <c r="N121" s="14" t="s">
        <v>46</v>
      </c>
      <c r="O121" s="16"/>
      <c r="P121" s="14" t="s">
        <v>1501</v>
      </c>
      <c r="Q121" s="14" t="s">
        <v>636</v>
      </c>
      <c r="R121" s="15" t="s">
        <v>637</v>
      </c>
      <c r="S121" s="15" t="s">
        <v>130</v>
      </c>
      <c r="T121" s="14"/>
      <c r="U121" s="14" t="s">
        <v>52</v>
      </c>
      <c r="V121" s="14" t="s">
        <v>57</v>
      </c>
      <c r="W121" s="14" t="s">
        <v>54</v>
      </c>
      <c r="X121" s="14" t="s">
        <v>1502</v>
      </c>
      <c r="Y121" s="15" t="s">
        <v>725</v>
      </c>
      <c r="Z121" s="15" t="s">
        <v>57</v>
      </c>
      <c r="AA121" s="14" t="s">
        <v>1503</v>
      </c>
      <c r="AB121" s="14"/>
      <c r="AC121" s="15" t="s">
        <v>60</v>
      </c>
      <c r="AD121" s="15" t="s">
        <v>1504</v>
      </c>
      <c r="AE121" s="15" t="s">
        <v>148</v>
      </c>
      <c r="AF121" s="15" t="s">
        <v>63</v>
      </c>
      <c r="AG121" s="14" t="s">
        <v>1505</v>
      </c>
    </row>
    <row r="122" customFormat="false" ht="124.6" hidden="false" customHeight="false" outlineLevel="0" collapsed="false">
      <c r="A122" s="14" t="s">
        <v>1506</v>
      </c>
      <c r="B122" s="14" t="s">
        <v>1495</v>
      </c>
      <c r="C122" s="15" t="s">
        <v>1371</v>
      </c>
      <c r="D122" s="15" t="s">
        <v>36</v>
      </c>
      <c r="E122" s="14" t="s">
        <v>120</v>
      </c>
      <c r="F122" s="15" t="s">
        <v>121</v>
      </c>
      <c r="G122" s="14" t="s">
        <v>175</v>
      </c>
      <c r="H122" s="14" t="s">
        <v>228</v>
      </c>
      <c r="I122" s="14" t="s">
        <v>1507</v>
      </c>
      <c r="J122" s="14" t="s">
        <v>1508</v>
      </c>
      <c r="K122" s="15" t="s">
        <v>126</v>
      </c>
      <c r="L122" s="14" t="s">
        <v>1509</v>
      </c>
      <c r="M122" s="15" t="s">
        <v>1510</v>
      </c>
      <c r="N122" s="14" t="s">
        <v>46</v>
      </c>
      <c r="O122" s="16"/>
      <c r="P122" s="14" t="s">
        <v>1511</v>
      </c>
      <c r="Q122" s="14" t="s">
        <v>636</v>
      </c>
      <c r="R122" s="15" t="s">
        <v>637</v>
      </c>
      <c r="S122" s="15" t="s">
        <v>130</v>
      </c>
      <c r="T122" s="14"/>
      <c r="U122" s="14" t="s">
        <v>52</v>
      </c>
      <c r="V122" s="14" t="s">
        <v>57</v>
      </c>
      <c r="W122" s="14" t="s">
        <v>54</v>
      </c>
      <c r="X122" s="14" t="s">
        <v>1512</v>
      </c>
      <c r="Y122" s="15" t="s">
        <v>79</v>
      </c>
      <c r="Z122" s="15" t="s">
        <v>57</v>
      </c>
      <c r="AA122" s="14" t="s">
        <v>1513</v>
      </c>
      <c r="AB122" s="14"/>
      <c r="AC122" s="15" t="s">
        <v>60</v>
      </c>
      <c r="AD122" s="15" t="s">
        <v>1514</v>
      </c>
      <c r="AE122" s="15" t="s">
        <v>148</v>
      </c>
      <c r="AF122" s="15" t="s">
        <v>63</v>
      </c>
      <c r="AG122" s="14"/>
    </row>
    <row r="123" customFormat="false" ht="147" hidden="false" customHeight="false" outlineLevel="0" collapsed="false">
      <c r="A123" s="14" t="s">
        <v>1515</v>
      </c>
      <c r="B123" s="14" t="s">
        <v>1495</v>
      </c>
      <c r="C123" s="15" t="s">
        <v>1371</v>
      </c>
      <c r="D123" s="15" t="s">
        <v>36</v>
      </c>
      <c r="E123" s="14" t="s">
        <v>1409</v>
      </c>
      <c r="F123" s="15" t="s">
        <v>121</v>
      </c>
      <c r="G123" s="14" t="s">
        <v>1516</v>
      </c>
      <c r="H123" s="14" t="s">
        <v>228</v>
      </c>
      <c r="I123" s="14" t="s">
        <v>1517</v>
      </c>
      <c r="J123" s="14" t="s">
        <v>1518</v>
      </c>
      <c r="K123" s="15" t="s">
        <v>126</v>
      </c>
      <c r="L123" s="14" t="s">
        <v>1519</v>
      </c>
      <c r="M123" s="15" t="s">
        <v>1520</v>
      </c>
      <c r="N123" s="14" t="s">
        <v>46</v>
      </c>
      <c r="O123" s="16"/>
      <c r="P123" s="14" t="s">
        <v>1521</v>
      </c>
      <c r="Q123" s="14" t="s">
        <v>636</v>
      </c>
      <c r="R123" s="15" t="s">
        <v>637</v>
      </c>
      <c r="S123" s="15" t="s">
        <v>130</v>
      </c>
      <c r="T123" s="14"/>
      <c r="U123" s="14" t="s">
        <v>52</v>
      </c>
      <c r="V123" s="14" t="s">
        <v>57</v>
      </c>
      <c r="W123" s="14" t="s">
        <v>54</v>
      </c>
      <c r="X123" s="14" t="s">
        <v>1522</v>
      </c>
      <c r="Y123" s="15" t="s">
        <v>725</v>
      </c>
      <c r="Z123" s="15" t="s">
        <v>57</v>
      </c>
      <c r="AA123" s="14" t="s">
        <v>1523</v>
      </c>
      <c r="AB123" s="14"/>
      <c r="AC123" s="15" t="s">
        <v>60</v>
      </c>
      <c r="AD123" s="15" t="s">
        <v>1524</v>
      </c>
      <c r="AE123" s="15" t="s">
        <v>148</v>
      </c>
      <c r="AF123" s="15" t="s">
        <v>63</v>
      </c>
      <c r="AG123" s="14" t="s">
        <v>1525</v>
      </c>
    </row>
    <row r="124" customFormat="false" ht="68.65" hidden="false" customHeight="false" outlineLevel="0" collapsed="false">
      <c r="A124" s="14" t="s">
        <v>1526</v>
      </c>
      <c r="B124" s="14" t="s">
        <v>1495</v>
      </c>
      <c r="C124" s="15" t="s">
        <v>1371</v>
      </c>
      <c r="D124" s="15" t="s">
        <v>36</v>
      </c>
      <c r="E124" s="14" t="s">
        <v>151</v>
      </c>
      <c r="F124" s="15" t="s">
        <v>104</v>
      </c>
      <c r="G124" s="14" t="s">
        <v>1484</v>
      </c>
      <c r="H124" s="14" t="s">
        <v>228</v>
      </c>
      <c r="I124" s="14" t="s">
        <v>1527</v>
      </c>
      <c r="J124" s="14" t="s">
        <v>1528</v>
      </c>
      <c r="K124" s="15" t="s">
        <v>108</v>
      </c>
      <c r="L124" s="14" t="s">
        <v>1529</v>
      </c>
      <c r="M124" s="15" t="s">
        <v>1530</v>
      </c>
      <c r="N124" s="14" t="s">
        <v>46</v>
      </c>
      <c r="O124" s="16"/>
      <c r="P124" s="14" t="s">
        <v>1531</v>
      </c>
      <c r="Q124" s="14" t="s">
        <v>48</v>
      </c>
      <c r="R124" s="15" t="s">
        <v>49</v>
      </c>
      <c r="S124" s="15" t="s">
        <v>130</v>
      </c>
      <c r="T124" s="14"/>
      <c r="U124" s="14" t="s">
        <v>52</v>
      </c>
      <c r="V124" s="14" t="s">
        <v>506</v>
      </c>
      <c r="W124" s="14" t="s">
        <v>54</v>
      </c>
      <c r="X124" s="14" t="s">
        <v>1532</v>
      </c>
      <c r="Y124" s="15" t="s">
        <v>56</v>
      </c>
      <c r="Z124" s="15" t="s">
        <v>57</v>
      </c>
      <c r="AA124" s="14" t="s">
        <v>1533</v>
      </c>
      <c r="AB124" s="14"/>
      <c r="AC124" s="15" t="s">
        <v>60</v>
      </c>
      <c r="AD124" s="15" t="s">
        <v>1534</v>
      </c>
      <c r="AE124" s="15" t="s">
        <v>148</v>
      </c>
      <c r="AF124" s="15" t="s">
        <v>63</v>
      </c>
      <c r="AG124" s="14" t="s">
        <v>1535</v>
      </c>
    </row>
    <row r="125" customFormat="false" ht="91" hidden="false" customHeight="false" outlineLevel="0" collapsed="false">
      <c r="A125" s="14" t="s">
        <v>1536</v>
      </c>
      <c r="B125" s="14" t="s">
        <v>1537</v>
      </c>
      <c r="C125" s="15" t="s">
        <v>1371</v>
      </c>
      <c r="D125" s="15" t="s">
        <v>36</v>
      </c>
      <c r="E125" s="14" t="s">
        <v>103</v>
      </c>
      <c r="F125" s="15" t="s">
        <v>104</v>
      </c>
      <c r="G125" s="14" t="s">
        <v>214</v>
      </c>
      <c r="H125" s="14" t="s">
        <v>1538</v>
      </c>
      <c r="I125" s="14" t="s">
        <v>1539</v>
      </c>
      <c r="J125" s="14" t="s">
        <v>1540</v>
      </c>
      <c r="K125" s="15" t="s">
        <v>108</v>
      </c>
      <c r="L125" s="14" t="s">
        <v>1541</v>
      </c>
      <c r="M125" s="15" t="s">
        <v>1259</v>
      </c>
      <c r="N125" s="14" t="s">
        <v>46</v>
      </c>
      <c r="O125" s="16"/>
      <c r="P125" s="14" t="s">
        <v>1542</v>
      </c>
      <c r="Q125" s="14" t="s">
        <v>48</v>
      </c>
      <c r="R125" s="15" t="s">
        <v>49</v>
      </c>
      <c r="S125" s="15" t="s">
        <v>130</v>
      </c>
      <c r="T125" s="14"/>
      <c r="U125" s="14" t="s">
        <v>263</v>
      </c>
      <c r="V125" s="14" t="s">
        <v>1543</v>
      </c>
      <c r="W125" s="14" t="s">
        <v>54</v>
      </c>
      <c r="X125" s="14" t="s">
        <v>1544</v>
      </c>
      <c r="Y125" s="15" t="s">
        <v>79</v>
      </c>
      <c r="Z125" s="15" t="s">
        <v>1545</v>
      </c>
      <c r="AA125" s="14" t="s">
        <v>1546</v>
      </c>
      <c r="AB125" s="14"/>
      <c r="AC125" s="15" t="s">
        <v>60</v>
      </c>
      <c r="AD125" s="15" t="s">
        <v>1547</v>
      </c>
      <c r="AE125" s="15" t="s">
        <v>148</v>
      </c>
      <c r="AF125" s="15" t="s">
        <v>63</v>
      </c>
      <c r="AG125" s="14"/>
    </row>
    <row r="126" customFormat="false" ht="68.65" hidden="false" customHeight="false" outlineLevel="0" collapsed="false">
      <c r="A126" s="14" t="s">
        <v>1548</v>
      </c>
      <c r="B126" s="14" t="s">
        <v>1549</v>
      </c>
      <c r="C126" s="15" t="s">
        <v>1371</v>
      </c>
      <c r="D126" s="15" t="s">
        <v>36</v>
      </c>
      <c r="E126" s="14" t="s">
        <v>103</v>
      </c>
      <c r="F126" s="15" t="s">
        <v>104</v>
      </c>
      <c r="G126" s="14" t="s">
        <v>214</v>
      </c>
      <c r="H126" s="14" t="s">
        <v>228</v>
      </c>
      <c r="I126" s="14" t="s">
        <v>1550</v>
      </c>
      <c r="J126" s="14" t="s">
        <v>1551</v>
      </c>
      <c r="K126" s="15" t="s">
        <v>108</v>
      </c>
      <c r="L126" s="14" t="s">
        <v>1552</v>
      </c>
      <c r="M126" s="15" t="s">
        <v>1259</v>
      </c>
      <c r="N126" s="14" t="s">
        <v>46</v>
      </c>
      <c r="O126" s="16"/>
      <c r="P126" s="14" t="s">
        <v>1553</v>
      </c>
      <c r="Q126" s="14" t="s">
        <v>48</v>
      </c>
      <c r="R126" s="15" t="s">
        <v>49</v>
      </c>
      <c r="S126" s="15" t="s">
        <v>50</v>
      </c>
      <c r="T126" s="14" t="s">
        <v>1554</v>
      </c>
      <c r="U126" s="14" t="s">
        <v>52</v>
      </c>
      <c r="V126" s="14" t="s">
        <v>57</v>
      </c>
      <c r="W126" s="14" t="s">
        <v>317</v>
      </c>
      <c r="X126" s="14" t="s">
        <v>1555</v>
      </c>
      <c r="Y126" s="15" t="s">
        <v>79</v>
      </c>
      <c r="Z126" s="15" t="s">
        <v>1556</v>
      </c>
      <c r="AA126" s="14" t="s">
        <v>1557</v>
      </c>
      <c r="AB126" s="14"/>
      <c r="AC126" s="15" t="s">
        <v>60</v>
      </c>
      <c r="AD126" s="15" t="s">
        <v>1558</v>
      </c>
      <c r="AE126" s="15" t="s">
        <v>148</v>
      </c>
      <c r="AF126" s="15" t="s">
        <v>63</v>
      </c>
      <c r="AG126" s="14"/>
    </row>
    <row r="127" customFormat="false" ht="79.85" hidden="false" customHeight="false" outlineLevel="0" collapsed="false">
      <c r="A127" s="14" t="s">
        <v>1559</v>
      </c>
      <c r="B127" s="14" t="s">
        <v>1560</v>
      </c>
      <c r="C127" s="15" t="s">
        <v>1371</v>
      </c>
      <c r="D127" s="15" t="s">
        <v>36</v>
      </c>
      <c r="E127" s="14" t="s">
        <v>103</v>
      </c>
      <c r="F127" s="15" t="s">
        <v>104</v>
      </c>
      <c r="G127" s="14" t="s">
        <v>416</v>
      </c>
      <c r="H127" s="14" t="s">
        <v>1398</v>
      </c>
      <c r="I127" s="14" t="s">
        <v>1561</v>
      </c>
      <c r="J127" s="14" t="s">
        <v>1562</v>
      </c>
      <c r="K127" s="15" t="s">
        <v>126</v>
      </c>
      <c r="L127" s="14" t="s">
        <v>1563</v>
      </c>
      <c r="M127" s="15" t="s">
        <v>1259</v>
      </c>
      <c r="N127" s="14" t="s">
        <v>46</v>
      </c>
      <c r="O127" s="16"/>
      <c r="P127" s="14" t="s">
        <v>1564</v>
      </c>
      <c r="Q127" s="14" t="s">
        <v>48</v>
      </c>
      <c r="R127" s="15" t="s">
        <v>49</v>
      </c>
      <c r="S127" s="15" t="s">
        <v>130</v>
      </c>
      <c r="T127" s="14"/>
      <c r="U127" s="14" t="s">
        <v>52</v>
      </c>
      <c r="V127" s="14" t="s">
        <v>1565</v>
      </c>
      <c r="W127" s="14" t="s">
        <v>54</v>
      </c>
      <c r="X127" s="14" t="s">
        <v>1566</v>
      </c>
      <c r="Y127" s="15" t="s">
        <v>79</v>
      </c>
      <c r="Z127" s="15" t="s">
        <v>57</v>
      </c>
      <c r="AA127" s="14" t="s">
        <v>1567</v>
      </c>
      <c r="AB127" s="14"/>
      <c r="AC127" s="15" t="s">
        <v>60</v>
      </c>
      <c r="AD127" s="15" t="s">
        <v>1568</v>
      </c>
      <c r="AE127" s="15" t="s">
        <v>148</v>
      </c>
      <c r="AF127" s="15" t="s">
        <v>63</v>
      </c>
      <c r="AG127" s="14"/>
    </row>
    <row r="128" customFormat="false" ht="79.85" hidden="false" customHeight="false" outlineLevel="0" collapsed="false">
      <c r="A128" s="14" t="s">
        <v>1569</v>
      </c>
      <c r="B128" s="14" t="s">
        <v>1570</v>
      </c>
      <c r="C128" s="15" t="s">
        <v>1371</v>
      </c>
      <c r="D128" s="15" t="s">
        <v>36</v>
      </c>
      <c r="E128" s="14" t="s">
        <v>137</v>
      </c>
      <c r="F128" s="15" t="s">
        <v>121</v>
      </c>
      <c r="G128" s="14" t="s">
        <v>175</v>
      </c>
      <c r="H128" s="14" t="s">
        <v>1571</v>
      </c>
      <c r="I128" s="14" t="s">
        <v>1572</v>
      </c>
      <c r="J128" s="14" t="s">
        <v>1573</v>
      </c>
      <c r="K128" s="15" t="s">
        <v>126</v>
      </c>
      <c r="L128" s="14" t="s">
        <v>1574</v>
      </c>
      <c r="M128" s="15" t="s">
        <v>252</v>
      </c>
      <c r="N128" s="14" t="s">
        <v>46</v>
      </c>
      <c r="O128" s="16"/>
      <c r="P128" s="14" t="s">
        <v>1575</v>
      </c>
      <c r="Q128" s="14" t="s">
        <v>48</v>
      </c>
      <c r="R128" s="15" t="s">
        <v>49</v>
      </c>
      <c r="S128" s="15" t="s">
        <v>130</v>
      </c>
      <c r="T128" s="14"/>
      <c r="U128" s="14" t="s">
        <v>263</v>
      </c>
      <c r="V128" s="14" t="s">
        <v>1576</v>
      </c>
      <c r="W128" s="14" t="s">
        <v>54</v>
      </c>
      <c r="X128" s="14" t="s">
        <v>1577</v>
      </c>
      <c r="Y128" s="15" t="s">
        <v>79</v>
      </c>
      <c r="Z128" s="15" t="s">
        <v>1578</v>
      </c>
      <c r="AA128" s="14" t="s">
        <v>1579</v>
      </c>
      <c r="AB128" s="14"/>
      <c r="AC128" s="15" t="s">
        <v>60</v>
      </c>
      <c r="AD128" s="15" t="s">
        <v>1580</v>
      </c>
      <c r="AE128" s="15" t="s">
        <v>148</v>
      </c>
      <c r="AF128" s="15" t="s">
        <v>63</v>
      </c>
      <c r="AG128" s="14" t="s">
        <v>1581</v>
      </c>
    </row>
    <row r="129" customFormat="false" ht="124.6" hidden="false" customHeight="false" outlineLevel="0" collapsed="false">
      <c r="A129" s="14" t="s">
        <v>1582</v>
      </c>
      <c r="B129" s="14" t="s">
        <v>1583</v>
      </c>
      <c r="C129" s="15" t="s">
        <v>1371</v>
      </c>
      <c r="D129" s="15" t="s">
        <v>36</v>
      </c>
      <c r="E129" s="14" t="s">
        <v>137</v>
      </c>
      <c r="F129" s="15" t="s">
        <v>121</v>
      </c>
      <c r="G129" s="14" t="s">
        <v>1584</v>
      </c>
      <c r="H129" s="14" t="s">
        <v>228</v>
      </c>
      <c r="I129" s="14" t="s">
        <v>1585</v>
      </c>
      <c r="J129" s="14" t="s">
        <v>1586</v>
      </c>
      <c r="K129" s="15" t="s">
        <v>126</v>
      </c>
      <c r="L129" s="14" t="s">
        <v>1587</v>
      </c>
      <c r="M129" s="15" t="s">
        <v>1588</v>
      </c>
      <c r="N129" s="14" t="s">
        <v>181</v>
      </c>
      <c r="O129" s="16" t="n">
        <v>6</v>
      </c>
      <c r="P129" s="14" t="s">
        <v>1589</v>
      </c>
      <c r="Q129" s="14" t="s">
        <v>48</v>
      </c>
      <c r="R129" s="15" t="s">
        <v>49</v>
      </c>
      <c r="S129" s="15" t="s">
        <v>130</v>
      </c>
      <c r="T129" s="14"/>
      <c r="U129" s="14" t="s">
        <v>263</v>
      </c>
      <c r="V129" s="14" t="s">
        <v>57</v>
      </c>
      <c r="W129" s="14" t="s">
        <v>54</v>
      </c>
      <c r="X129" s="14" t="s">
        <v>1590</v>
      </c>
      <c r="Y129" s="15" t="s">
        <v>79</v>
      </c>
      <c r="Z129" s="15" t="s">
        <v>1591</v>
      </c>
      <c r="AA129" s="14" t="s">
        <v>1592</v>
      </c>
      <c r="AB129" s="14"/>
      <c r="AC129" s="15" t="s">
        <v>60</v>
      </c>
      <c r="AD129" s="15" t="s">
        <v>1593</v>
      </c>
      <c r="AE129" s="15" t="s">
        <v>62</v>
      </c>
      <c r="AF129" s="15" t="s">
        <v>63</v>
      </c>
      <c r="AG129" s="14"/>
    </row>
    <row r="130" customFormat="false" ht="79.85" hidden="false" customHeight="false" outlineLevel="0" collapsed="false">
      <c r="A130" s="14" t="s">
        <v>1594</v>
      </c>
      <c r="B130" s="14" t="s">
        <v>1583</v>
      </c>
      <c r="C130" s="15" t="s">
        <v>1371</v>
      </c>
      <c r="D130" s="15" t="s">
        <v>36</v>
      </c>
      <c r="E130" s="14" t="s">
        <v>103</v>
      </c>
      <c r="F130" s="15" t="s">
        <v>104</v>
      </c>
      <c r="G130" s="14" t="s">
        <v>214</v>
      </c>
      <c r="H130" s="14" t="s">
        <v>228</v>
      </c>
      <c r="I130" s="14" t="s">
        <v>1595</v>
      </c>
      <c r="J130" s="14" t="s">
        <v>1596</v>
      </c>
      <c r="K130" s="15" t="s">
        <v>108</v>
      </c>
      <c r="L130" s="14" t="s">
        <v>1597</v>
      </c>
      <c r="M130" s="15" t="s">
        <v>720</v>
      </c>
      <c r="N130" s="14" t="s">
        <v>46</v>
      </c>
      <c r="O130" s="16"/>
      <c r="P130" s="14" t="s">
        <v>1598</v>
      </c>
      <c r="Q130" s="14" t="s">
        <v>48</v>
      </c>
      <c r="R130" s="15" t="s">
        <v>49</v>
      </c>
      <c r="S130" s="15" t="s">
        <v>130</v>
      </c>
      <c r="T130" s="14"/>
      <c r="U130" s="14" t="s">
        <v>263</v>
      </c>
      <c r="V130" s="14" t="s">
        <v>57</v>
      </c>
      <c r="W130" s="14" t="s">
        <v>54</v>
      </c>
      <c r="X130" s="14" t="s">
        <v>1599</v>
      </c>
      <c r="Y130" s="15" t="s">
        <v>79</v>
      </c>
      <c r="Z130" s="15" t="s">
        <v>1600</v>
      </c>
      <c r="AA130" s="14" t="s">
        <v>1601</v>
      </c>
      <c r="AB130" s="14"/>
      <c r="AC130" s="15" t="s">
        <v>60</v>
      </c>
      <c r="AD130" s="15" t="s">
        <v>1602</v>
      </c>
      <c r="AE130" s="15" t="s">
        <v>62</v>
      </c>
      <c r="AF130" s="15" t="s">
        <v>63</v>
      </c>
      <c r="AG130" s="14"/>
    </row>
    <row r="131" customFormat="false" ht="46.25" hidden="false" customHeight="false" outlineLevel="0" collapsed="false">
      <c r="A131" s="17" t="s">
        <v>1603</v>
      </c>
      <c r="B131" s="17" t="s">
        <v>1604</v>
      </c>
      <c r="C131" s="18" t="s">
        <v>1605</v>
      </c>
      <c r="D131" s="18" t="s">
        <v>36</v>
      </c>
      <c r="E131" s="17" t="s">
        <v>137</v>
      </c>
      <c r="F131" s="18" t="s">
        <v>121</v>
      </c>
      <c r="G131" s="17" t="s">
        <v>297</v>
      </c>
      <c r="H131" s="17" t="s">
        <v>86</v>
      </c>
      <c r="I131" s="17" t="s">
        <v>1606</v>
      </c>
      <c r="J131" s="17"/>
      <c r="K131" s="18" t="s">
        <v>126</v>
      </c>
      <c r="L131" s="17" t="s">
        <v>1607</v>
      </c>
      <c r="M131" s="18" t="s">
        <v>1157</v>
      </c>
      <c r="N131" s="17" t="s">
        <v>142</v>
      </c>
      <c r="O131" s="19" t="n">
        <v>2</v>
      </c>
      <c r="P131" s="17" t="s">
        <v>1608</v>
      </c>
      <c r="Q131" s="17" t="s">
        <v>48</v>
      </c>
      <c r="R131" s="18" t="s">
        <v>49</v>
      </c>
      <c r="S131" s="18" t="s">
        <v>50</v>
      </c>
      <c r="T131" s="17" t="s">
        <v>1609</v>
      </c>
      <c r="U131" s="17" t="s">
        <v>52</v>
      </c>
      <c r="V131" s="17" t="s">
        <v>1610</v>
      </c>
      <c r="W131" s="17" t="s">
        <v>48</v>
      </c>
      <c r="X131" s="17" t="s">
        <v>1611</v>
      </c>
      <c r="Y131" s="18" t="s">
        <v>79</v>
      </c>
      <c r="Z131" s="18" t="s">
        <v>57</v>
      </c>
      <c r="AA131" s="17" t="s">
        <v>1612</v>
      </c>
      <c r="AB131" s="17"/>
      <c r="AC131" s="18" t="s">
        <v>60</v>
      </c>
      <c r="AD131" s="18" t="s">
        <v>1613</v>
      </c>
      <c r="AE131" s="18" t="s">
        <v>148</v>
      </c>
      <c r="AF131" s="18" t="s">
        <v>63</v>
      </c>
      <c r="AG131" s="17" t="s">
        <v>1614</v>
      </c>
    </row>
    <row r="132" customFormat="false" ht="79.85" hidden="false" customHeight="false" outlineLevel="0" collapsed="false">
      <c r="A132" s="17" t="s">
        <v>1615</v>
      </c>
      <c r="B132" s="17" t="s">
        <v>1616</v>
      </c>
      <c r="C132" s="18" t="s">
        <v>1605</v>
      </c>
      <c r="D132" s="18" t="s">
        <v>36</v>
      </c>
      <c r="E132" s="17" t="s">
        <v>137</v>
      </c>
      <c r="F132" s="18" t="s">
        <v>121</v>
      </c>
      <c r="G132" s="17" t="s">
        <v>644</v>
      </c>
      <c r="H132" s="17" t="s">
        <v>86</v>
      </c>
      <c r="I132" s="17" t="s">
        <v>1617</v>
      </c>
      <c r="J132" s="17"/>
      <c r="K132" s="18" t="s">
        <v>126</v>
      </c>
      <c r="L132" s="17" t="s">
        <v>1618</v>
      </c>
      <c r="M132" s="18" t="s">
        <v>1619</v>
      </c>
      <c r="N132" s="17" t="s">
        <v>142</v>
      </c>
      <c r="O132" s="19" t="n">
        <v>10</v>
      </c>
      <c r="P132" s="17" t="s">
        <v>1620</v>
      </c>
      <c r="Q132" s="17" t="s">
        <v>48</v>
      </c>
      <c r="R132" s="18" t="s">
        <v>49</v>
      </c>
      <c r="S132" s="18" t="s">
        <v>50</v>
      </c>
      <c r="T132" s="17" t="s">
        <v>1621</v>
      </c>
      <c r="U132" s="17" t="s">
        <v>52</v>
      </c>
      <c r="V132" s="17" t="s">
        <v>1622</v>
      </c>
      <c r="W132" s="17" t="s">
        <v>48</v>
      </c>
      <c r="X132" s="17" t="s">
        <v>1623</v>
      </c>
      <c r="Y132" s="18" t="s">
        <v>79</v>
      </c>
      <c r="Z132" s="18" t="s">
        <v>57</v>
      </c>
      <c r="AA132" s="17" t="s">
        <v>1624</v>
      </c>
      <c r="AB132" s="17"/>
      <c r="AC132" s="18" t="s">
        <v>60</v>
      </c>
      <c r="AD132" s="18" t="s">
        <v>1625</v>
      </c>
      <c r="AE132" s="18" t="s">
        <v>148</v>
      </c>
      <c r="AF132" s="18" t="s">
        <v>63</v>
      </c>
      <c r="AG132" s="17" t="s">
        <v>1626</v>
      </c>
    </row>
    <row r="133" customFormat="false" ht="102.2" hidden="false" customHeight="false" outlineLevel="0" collapsed="false">
      <c r="A133" s="17" t="s">
        <v>1627</v>
      </c>
      <c r="B133" s="17" t="s">
        <v>1628</v>
      </c>
      <c r="C133" s="18" t="s">
        <v>1605</v>
      </c>
      <c r="D133" s="18" t="s">
        <v>36</v>
      </c>
      <c r="E133" s="17" t="s">
        <v>103</v>
      </c>
      <c r="F133" s="18" t="s">
        <v>201</v>
      </c>
      <c r="G133" s="17" t="s">
        <v>1206</v>
      </c>
      <c r="H133" s="17" t="s">
        <v>86</v>
      </c>
      <c r="I133" s="17" t="s">
        <v>1629</v>
      </c>
      <c r="J133" s="17" t="s">
        <v>1630</v>
      </c>
      <c r="K133" s="18" t="s">
        <v>126</v>
      </c>
      <c r="L133" s="17" t="s">
        <v>1631</v>
      </c>
      <c r="M133" s="18" t="s">
        <v>1259</v>
      </c>
      <c r="N133" s="17" t="s">
        <v>142</v>
      </c>
      <c r="O133" s="19"/>
      <c r="P133" s="17" t="s">
        <v>1632</v>
      </c>
      <c r="Q133" s="17" t="s">
        <v>636</v>
      </c>
      <c r="R133" s="18" t="s">
        <v>637</v>
      </c>
      <c r="S133" s="18" t="s">
        <v>50</v>
      </c>
      <c r="T133" s="17" t="s">
        <v>1633</v>
      </c>
      <c r="U133" s="17" t="s">
        <v>52</v>
      </c>
      <c r="V133" s="17" t="s">
        <v>1634</v>
      </c>
      <c r="W133" s="17" t="s">
        <v>48</v>
      </c>
      <c r="X133" s="17" t="s">
        <v>1635</v>
      </c>
      <c r="Y133" s="18" t="s">
        <v>79</v>
      </c>
      <c r="Z133" s="18" t="s">
        <v>57</v>
      </c>
      <c r="AA133" s="17" t="s">
        <v>1636</v>
      </c>
      <c r="AB133" s="17"/>
      <c r="AC133" s="18" t="s">
        <v>60</v>
      </c>
      <c r="AD133" s="18" t="s">
        <v>1637</v>
      </c>
      <c r="AE133" s="18" t="s">
        <v>148</v>
      </c>
      <c r="AF133" s="18" t="s">
        <v>63</v>
      </c>
      <c r="AG133" s="17" t="s">
        <v>1638</v>
      </c>
    </row>
    <row r="134" customFormat="false" ht="68.65" hidden="false" customHeight="false" outlineLevel="0" collapsed="false">
      <c r="A134" s="17" t="s">
        <v>1639</v>
      </c>
      <c r="B134" s="17" t="s">
        <v>1640</v>
      </c>
      <c r="C134" s="18" t="s">
        <v>1605</v>
      </c>
      <c r="D134" s="18" t="s">
        <v>36</v>
      </c>
      <c r="E134" s="17" t="s">
        <v>103</v>
      </c>
      <c r="F134" s="18" t="s">
        <v>104</v>
      </c>
      <c r="G134" s="17" t="s">
        <v>214</v>
      </c>
      <c r="H134" s="17" t="s">
        <v>86</v>
      </c>
      <c r="I134" s="17" t="s">
        <v>1641</v>
      </c>
      <c r="J134" s="17" t="s">
        <v>1642</v>
      </c>
      <c r="K134" s="18" t="s">
        <v>216</v>
      </c>
      <c r="L134" s="17" t="s">
        <v>1643</v>
      </c>
      <c r="M134" s="18" t="s">
        <v>1464</v>
      </c>
      <c r="N134" s="17" t="s">
        <v>46</v>
      </c>
      <c r="O134" s="19"/>
      <c r="P134" s="17" t="s">
        <v>1644</v>
      </c>
      <c r="Q134" s="17" t="s">
        <v>48</v>
      </c>
      <c r="R134" s="18" t="s">
        <v>49</v>
      </c>
      <c r="S134" s="18" t="s">
        <v>50</v>
      </c>
      <c r="T134" s="17" t="s">
        <v>1633</v>
      </c>
      <c r="U134" s="17" t="s">
        <v>52</v>
      </c>
      <c r="V134" s="17" t="s">
        <v>1645</v>
      </c>
      <c r="W134" s="17" t="s">
        <v>54</v>
      </c>
      <c r="X134" s="17" t="s">
        <v>1646</v>
      </c>
      <c r="Y134" s="18" t="s">
        <v>79</v>
      </c>
      <c r="Z134" s="18" t="s">
        <v>57</v>
      </c>
      <c r="AA134" s="17" t="s">
        <v>1647</v>
      </c>
      <c r="AB134" s="17"/>
      <c r="AC134" s="18" t="s">
        <v>60</v>
      </c>
      <c r="AD134" s="18" t="s">
        <v>1648</v>
      </c>
      <c r="AE134" s="18" t="s">
        <v>148</v>
      </c>
      <c r="AF134" s="18" t="s">
        <v>63</v>
      </c>
      <c r="AG134" s="17" t="s">
        <v>1649</v>
      </c>
    </row>
    <row r="135" customFormat="false" ht="79.85" hidden="false" customHeight="false" outlineLevel="0" collapsed="false">
      <c r="A135" s="17" t="s">
        <v>1650</v>
      </c>
      <c r="B135" s="17" t="s">
        <v>1651</v>
      </c>
      <c r="C135" s="18" t="s">
        <v>1605</v>
      </c>
      <c r="D135" s="18" t="s">
        <v>36</v>
      </c>
      <c r="E135" s="17" t="s">
        <v>364</v>
      </c>
      <c r="F135" s="18" t="s">
        <v>201</v>
      </c>
      <c r="G135" s="17" t="s">
        <v>365</v>
      </c>
      <c r="H135" s="17" t="s">
        <v>86</v>
      </c>
      <c r="I135" s="17" t="s">
        <v>1652</v>
      </c>
      <c r="J135" s="17" t="s">
        <v>1653</v>
      </c>
      <c r="K135" s="18" t="s">
        <v>126</v>
      </c>
      <c r="L135" s="17" t="s">
        <v>1654</v>
      </c>
      <c r="M135" s="18" t="s">
        <v>1655</v>
      </c>
      <c r="N135" s="17" t="s">
        <v>1656</v>
      </c>
      <c r="O135" s="19" t="n">
        <v>7</v>
      </c>
      <c r="P135" s="17" t="s">
        <v>1657</v>
      </c>
      <c r="Q135" s="17" t="s">
        <v>48</v>
      </c>
      <c r="R135" s="18" t="s">
        <v>49</v>
      </c>
      <c r="S135" s="18" t="s">
        <v>50</v>
      </c>
      <c r="T135" s="17" t="s">
        <v>1658</v>
      </c>
      <c r="U135" s="17" t="s">
        <v>263</v>
      </c>
      <c r="V135" s="17" t="s">
        <v>1659</v>
      </c>
      <c r="W135" s="17" t="s">
        <v>48</v>
      </c>
      <c r="X135" s="17" t="s">
        <v>1660</v>
      </c>
      <c r="Y135" s="18" t="s">
        <v>79</v>
      </c>
      <c r="Z135" s="18" t="s">
        <v>57</v>
      </c>
      <c r="AA135" s="17" t="s">
        <v>1661</v>
      </c>
      <c r="AB135" s="17"/>
      <c r="AC135" s="18" t="s">
        <v>60</v>
      </c>
      <c r="AD135" s="18" t="s">
        <v>1662</v>
      </c>
      <c r="AE135" s="18" t="s">
        <v>148</v>
      </c>
      <c r="AF135" s="18" t="s">
        <v>63</v>
      </c>
      <c r="AG135" s="17" t="s">
        <v>1663</v>
      </c>
    </row>
    <row r="136" customFormat="false" ht="68.65" hidden="false" customHeight="false" outlineLevel="0" collapsed="false">
      <c r="A136" s="17" t="s">
        <v>1664</v>
      </c>
      <c r="B136" s="17" t="s">
        <v>1665</v>
      </c>
      <c r="C136" s="18" t="s">
        <v>1605</v>
      </c>
      <c r="D136" s="18" t="s">
        <v>36</v>
      </c>
      <c r="E136" s="17" t="s">
        <v>1666</v>
      </c>
      <c r="F136" s="18" t="s">
        <v>201</v>
      </c>
      <c r="G136" s="17" t="s">
        <v>202</v>
      </c>
      <c r="H136" s="17" t="s">
        <v>86</v>
      </c>
      <c r="I136" s="17" t="s">
        <v>1667</v>
      </c>
      <c r="J136" s="17" t="s">
        <v>1668</v>
      </c>
      <c r="K136" s="18" t="s">
        <v>126</v>
      </c>
      <c r="L136" s="17" t="s">
        <v>1669</v>
      </c>
      <c r="M136" s="18" t="s">
        <v>1259</v>
      </c>
      <c r="N136" s="17" t="s">
        <v>74</v>
      </c>
      <c r="O136" s="19"/>
      <c r="P136" s="17" t="s">
        <v>1670</v>
      </c>
      <c r="Q136" s="17" t="s">
        <v>48</v>
      </c>
      <c r="R136" s="18" t="s">
        <v>49</v>
      </c>
      <c r="S136" s="18" t="s">
        <v>50</v>
      </c>
      <c r="T136" s="17" t="s">
        <v>1671</v>
      </c>
      <c r="U136" s="17" t="s">
        <v>52</v>
      </c>
      <c r="V136" s="17" t="s">
        <v>1672</v>
      </c>
      <c r="W136" s="17" t="s">
        <v>48</v>
      </c>
      <c r="X136" s="17" t="s">
        <v>1673</v>
      </c>
      <c r="Y136" s="18" t="s">
        <v>79</v>
      </c>
      <c r="Z136" s="18" t="s">
        <v>57</v>
      </c>
      <c r="AA136" s="17" t="s">
        <v>1674</v>
      </c>
      <c r="AB136" s="17"/>
      <c r="AC136" s="18" t="s">
        <v>60</v>
      </c>
      <c r="AD136" s="18" t="s">
        <v>1675</v>
      </c>
      <c r="AE136" s="18" t="s">
        <v>148</v>
      </c>
      <c r="AF136" s="18" t="s">
        <v>63</v>
      </c>
      <c r="AG136" s="17" t="s">
        <v>1676</v>
      </c>
    </row>
    <row r="137" customFormat="false" ht="46.25" hidden="false" customHeight="false" outlineLevel="0" collapsed="false">
      <c r="A137" s="17" t="s">
        <v>1677</v>
      </c>
      <c r="B137" s="17" t="s">
        <v>1665</v>
      </c>
      <c r="C137" s="18" t="s">
        <v>1605</v>
      </c>
      <c r="D137" s="18" t="s">
        <v>36</v>
      </c>
      <c r="E137" s="17" t="s">
        <v>1678</v>
      </c>
      <c r="F137" s="18" t="s">
        <v>67</v>
      </c>
      <c r="G137" s="17" t="s">
        <v>214</v>
      </c>
      <c r="H137" s="17" t="s">
        <v>228</v>
      </c>
      <c r="I137" s="17" t="s">
        <v>1679</v>
      </c>
      <c r="J137" s="17" t="s">
        <v>1680</v>
      </c>
      <c r="K137" s="18" t="s">
        <v>71</v>
      </c>
      <c r="L137" s="17" t="s">
        <v>1681</v>
      </c>
      <c r="M137" s="18" t="s">
        <v>289</v>
      </c>
      <c r="N137" s="17" t="s">
        <v>46</v>
      </c>
      <c r="O137" s="19"/>
      <c r="P137" s="17" t="s">
        <v>1682</v>
      </c>
      <c r="Q137" s="17" t="s">
        <v>48</v>
      </c>
      <c r="R137" s="18" t="s">
        <v>49</v>
      </c>
      <c r="S137" s="18" t="s">
        <v>50</v>
      </c>
      <c r="T137" s="17" t="s">
        <v>1671</v>
      </c>
      <c r="U137" s="17" t="s">
        <v>52</v>
      </c>
      <c r="V137" s="17" t="s">
        <v>1683</v>
      </c>
      <c r="W137" s="17" t="s">
        <v>48</v>
      </c>
      <c r="X137" s="17" t="s">
        <v>1684</v>
      </c>
      <c r="Y137" s="18" t="s">
        <v>79</v>
      </c>
      <c r="Z137" s="18" t="s">
        <v>57</v>
      </c>
      <c r="AA137" s="17" t="s">
        <v>1685</v>
      </c>
      <c r="AB137" s="17"/>
      <c r="AC137" s="18" t="s">
        <v>60</v>
      </c>
      <c r="AD137" s="18" t="s">
        <v>1686</v>
      </c>
      <c r="AE137" s="18" t="s">
        <v>148</v>
      </c>
      <c r="AF137" s="18" t="s">
        <v>63</v>
      </c>
      <c r="AG137" s="17" t="s">
        <v>1687</v>
      </c>
    </row>
    <row r="138" customFormat="false" ht="68.65" hidden="false" customHeight="false" outlineLevel="0" collapsed="false">
      <c r="A138" s="17" t="s">
        <v>1688</v>
      </c>
      <c r="B138" s="17" t="s">
        <v>1665</v>
      </c>
      <c r="C138" s="18" t="s">
        <v>1605</v>
      </c>
      <c r="D138" s="18" t="s">
        <v>36</v>
      </c>
      <c r="E138" s="17" t="s">
        <v>137</v>
      </c>
      <c r="F138" s="18" t="s">
        <v>121</v>
      </c>
      <c r="G138" s="17" t="s">
        <v>297</v>
      </c>
      <c r="H138" s="17" t="s">
        <v>228</v>
      </c>
      <c r="I138" s="17" t="s">
        <v>1689</v>
      </c>
      <c r="J138" s="17"/>
      <c r="K138" s="18" t="s">
        <v>126</v>
      </c>
      <c r="L138" s="17" t="s">
        <v>1690</v>
      </c>
      <c r="M138" s="18" t="s">
        <v>1157</v>
      </c>
      <c r="N138" s="17" t="s">
        <v>46</v>
      </c>
      <c r="O138" s="19"/>
      <c r="P138" s="17" t="s">
        <v>1691</v>
      </c>
      <c r="Q138" s="17" t="s">
        <v>48</v>
      </c>
      <c r="R138" s="18" t="s">
        <v>49</v>
      </c>
      <c r="S138" s="18" t="s">
        <v>50</v>
      </c>
      <c r="T138" s="17" t="s">
        <v>1671</v>
      </c>
      <c r="U138" s="17" t="s">
        <v>52</v>
      </c>
      <c r="V138" s="17" t="s">
        <v>1692</v>
      </c>
      <c r="W138" s="17" t="s">
        <v>48</v>
      </c>
      <c r="X138" s="17" t="s">
        <v>1693</v>
      </c>
      <c r="Y138" s="18" t="s">
        <v>79</v>
      </c>
      <c r="Z138" s="18" t="s">
        <v>57</v>
      </c>
      <c r="AA138" s="17" t="s">
        <v>1694</v>
      </c>
      <c r="AB138" s="17"/>
      <c r="AC138" s="18" t="s">
        <v>60</v>
      </c>
      <c r="AD138" s="18" t="s">
        <v>1695</v>
      </c>
      <c r="AE138" s="18" t="s">
        <v>148</v>
      </c>
      <c r="AF138" s="18" t="s">
        <v>63</v>
      </c>
      <c r="AG138" s="17" t="s">
        <v>1696</v>
      </c>
    </row>
    <row r="139" customFormat="false" ht="46.25" hidden="false" customHeight="false" outlineLevel="0" collapsed="false">
      <c r="A139" s="17" t="s">
        <v>1697</v>
      </c>
      <c r="B139" s="17" t="s">
        <v>1665</v>
      </c>
      <c r="C139" s="18" t="s">
        <v>1605</v>
      </c>
      <c r="D139" s="18" t="s">
        <v>36</v>
      </c>
      <c r="E139" s="17" t="s">
        <v>227</v>
      </c>
      <c r="F139" s="18" t="s">
        <v>104</v>
      </c>
      <c r="G139" s="17" t="s">
        <v>214</v>
      </c>
      <c r="H139" s="17" t="s">
        <v>228</v>
      </c>
      <c r="I139" s="17" t="s">
        <v>1698</v>
      </c>
      <c r="J139" s="17" t="s">
        <v>1699</v>
      </c>
      <c r="K139" s="18" t="s">
        <v>216</v>
      </c>
      <c r="L139" s="17" t="s">
        <v>1700</v>
      </c>
      <c r="M139" s="18" t="s">
        <v>1701</v>
      </c>
      <c r="N139" s="17" t="s">
        <v>46</v>
      </c>
      <c r="O139" s="19"/>
      <c r="P139" s="17" t="s">
        <v>1702</v>
      </c>
      <c r="Q139" s="17" t="s">
        <v>48</v>
      </c>
      <c r="R139" s="18" t="s">
        <v>49</v>
      </c>
      <c r="S139" s="18" t="s">
        <v>50</v>
      </c>
      <c r="T139" s="17" t="s">
        <v>1671</v>
      </c>
      <c r="U139" s="17" t="s">
        <v>52</v>
      </c>
      <c r="V139" s="17" t="s">
        <v>1703</v>
      </c>
      <c r="W139" s="17" t="s">
        <v>48</v>
      </c>
      <c r="X139" s="17" t="s">
        <v>1704</v>
      </c>
      <c r="Y139" s="18" t="s">
        <v>79</v>
      </c>
      <c r="Z139" s="18" t="s">
        <v>57</v>
      </c>
      <c r="AA139" s="17" t="s">
        <v>1705</v>
      </c>
      <c r="AB139" s="17"/>
      <c r="AC139" s="18" t="s">
        <v>60</v>
      </c>
      <c r="AD139" s="18" t="s">
        <v>1706</v>
      </c>
      <c r="AE139" s="18" t="s">
        <v>148</v>
      </c>
      <c r="AF139" s="18" t="s">
        <v>63</v>
      </c>
      <c r="AG139" s="17" t="s">
        <v>1707</v>
      </c>
    </row>
    <row r="140" customFormat="false" ht="79.85" hidden="false" customHeight="false" outlineLevel="0" collapsed="false">
      <c r="A140" s="17" t="s">
        <v>1203</v>
      </c>
      <c r="B140" s="17" t="s">
        <v>1708</v>
      </c>
      <c r="C140" s="18" t="s">
        <v>1605</v>
      </c>
      <c r="D140" s="18" t="s">
        <v>36</v>
      </c>
      <c r="E140" s="17" t="s">
        <v>1450</v>
      </c>
      <c r="F140" s="18" t="s">
        <v>201</v>
      </c>
      <c r="G140" s="17" t="s">
        <v>365</v>
      </c>
      <c r="H140" s="17" t="s">
        <v>86</v>
      </c>
      <c r="I140" s="17" t="s">
        <v>1709</v>
      </c>
      <c r="J140" s="17" t="s">
        <v>1710</v>
      </c>
      <c r="K140" s="18" t="s">
        <v>126</v>
      </c>
      <c r="L140" s="17" t="s">
        <v>1711</v>
      </c>
      <c r="M140" s="18" t="s">
        <v>206</v>
      </c>
      <c r="N140" s="17" t="s">
        <v>142</v>
      </c>
      <c r="O140" s="19"/>
      <c r="P140" s="17" t="s">
        <v>1712</v>
      </c>
      <c r="Q140" s="17" t="s">
        <v>48</v>
      </c>
      <c r="R140" s="18" t="s">
        <v>49</v>
      </c>
      <c r="S140" s="18" t="s">
        <v>50</v>
      </c>
      <c r="T140" s="17" t="s">
        <v>1713</v>
      </c>
      <c r="U140" s="17" t="s">
        <v>52</v>
      </c>
      <c r="V140" s="17" t="s">
        <v>1714</v>
      </c>
      <c r="W140" s="17" t="s">
        <v>48</v>
      </c>
      <c r="X140" s="17" t="s">
        <v>1715</v>
      </c>
      <c r="Y140" s="18" t="s">
        <v>79</v>
      </c>
      <c r="Z140" s="18" t="s">
        <v>57</v>
      </c>
      <c r="AA140" s="17" t="s">
        <v>1716</v>
      </c>
      <c r="AB140" s="17"/>
      <c r="AC140" s="18" t="s">
        <v>60</v>
      </c>
      <c r="AD140" s="18" t="s">
        <v>1717</v>
      </c>
      <c r="AE140" s="18" t="s">
        <v>62</v>
      </c>
      <c r="AF140" s="18" t="s">
        <v>63</v>
      </c>
      <c r="AG140" s="17" t="s">
        <v>1718</v>
      </c>
    </row>
    <row r="141" customFormat="false" ht="79.85" hidden="false" customHeight="false" outlineLevel="0" collapsed="false">
      <c r="A141" s="17" t="s">
        <v>1232</v>
      </c>
      <c r="B141" s="17" t="s">
        <v>1708</v>
      </c>
      <c r="C141" s="18" t="s">
        <v>1605</v>
      </c>
      <c r="D141" s="18" t="s">
        <v>36</v>
      </c>
      <c r="E141" s="17" t="s">
        <v>137</v>
      </c>
      <c r="F141" s="18" t="s">
        <v>121</v>
      </c>
      <c r="G141" s="17" t="s">
        <v>297</v>
      </c>
      <c r="H141" s="17" t="s">
        <v>86</v>
      </c>
      <c r="I141" s="17" t="s">
        <v>1719</v>
      </c>
      <c r="J141" s="17" t="s">
        <v>1720</v>
      </c>
      <c r="K141" s="18" t="s">
        <v>126</v>
      </c>
      <c r="L141" s="17" t="s">
        <v>1721</v>
      </c>
      <c r="M141" s="18" t="s">
        <v>1722</v>
      </c>
      <c r="N141" s="17" t="s">
        <v>142</v>
      </c>
      <c r="O141" s="19" t="n">
        <v>5</v>
      </c>
      <c r="P141" s="17" t="s">
        <v>1723</v>
      </c>
      <c r="Q141" s="17" t="s">
        <v>48</v>
      </c>
      <c r="R141" s="18" t="s">
        <v>49</v>
      </c>
      <c r="S141" s="18" t="s">
        <v>50</v>
      </c>
      <c r="T141" s="17" t="s">
        <v>1713</v>
      </c>
      <c r="U141" s="17" t="s">
        <v>52</v>
      </c>
      <c r="V141" s="17" t="s">
        <v>1724</v>
      </c>
      <c r="W141" s="17" t="s">
        <v>48</v>
      </c>
      <c r="X141" s="17" t="s">
        <v>1725</v>
      </c>
      <c r="Y141" s="18" t="s">
        <v>79</v>
      </c>
      <c r="Z141" s="18" t="s">
        <v>57</v>
      </c>
      <c r="AA141" s="17" t="s">
        <v>1726</v>
      </c>
      <c r="AB141" s="17"/>
      <c r="AC141" s="18" t="s">
        <v>60</v>
      </c>
      <c r="AD141" s="18" t="s">
        <v>1717</v>
      </c>
      <c r="AE141" s="18" t="s">
        <v>62</v>
      </c>
      <c r="AF141" s="18" t="s">
        <v>63</v>
      </c>
      <c r="AG141" s="17" t="s">
        <v>1727</v>
      </c>
    </row>
    <row r="142" customFormat="false" ht="46.25" hidden="false" customHeight="false" outlineLevel="0" collapsed="false">
      <c r="A142" s="17" t="s">
        <v>1728</v>
      </c>
      <c r="B142" s="17" t="s">
        <v>1729</v>
      </c>
      <c r="C142" s="18" t="s">
        <v>1605</v>
      </c>
      <c r="D142" s="18" t="s">
        <v>36</v>
      </c>
      <c r="E142" s="17" t="s">
        <v>137</v>
      </c>
      <c r="F142" s="18" t="s">
        <v>121</v>
      </c>
      <c r="G142" s="17" t="s">
        <v>297</v>
      </c>
      <c r="H142" s="17" t="s">
        <v>86</v>
      </c>
      <c r="I142" s="17" t="s">
        <v>1730</v>
      </c>
      <c r="J142" s="17" t="s">
        <v>1731</v>
      </c>
      <c r="K142" s="18" t="s">
        <v>126</v>
      </c>
      <c r="L142" s="17" t="s">
        <v>1732</v>
      </c>
      <c r="M142" s="18" t="s">
        <v>1259</v>
      </c>
      <c r="N142" s="17" t="s">
        <v>142</v>
      </c>
      <c r="O142" s="19"/>
      <c r="P142" s="17" t="s">
        <v>1733</v>
      </c>
      <c r="Q142" s="17" t="s">
        <v>48</v>
      </c>
      <c r="R142" s="18" t="s">
        <v>49</v>
      </c>
      <c r="S142" s="18" t="s">
        <v>50</v>
      </c>
      <c r="T142" s="17" t="s">
        <v>1734</v>
      </c>
      <c r="U142" s="17" t="s">
        <v>52</v>
      </c>
      <c r="V142" s="17" t="s">
        <v>1692</v>
      </c>
      <c r="W142" s="17" t="s">
        <v>48</v>
      </c>
      <c r="X142" s="17" t="s">
        <v>1735</v>
      </c>
      <c r="Y142" s="18" t="s">
        <v>79</v>
      </c>
      <c r="Z142" s="18" t="s">
        <v>57</v>
      </c>
      <c r="AA142" s="17" t="s">
        <v>1736</v>
      </c>
      <c r="AB142" s="17"/>
      <c r="AC142" s="18" t="s">
        <v>60</v>
      </c>
      <c r="AD142" s="18" t="s">
        <v>1737</v>
      </c>
      <c r="AE142" s="18" t="s">
        <v>148</v>
      </c>
      <c r="AF142" s="18" t="s">
        <v>63</v>
      </c>
      <c r="AG142" s="17" t="s">
        <v>1738</v>
      </c>
    </row>
    <row r="143" customFormat="false" ht="57.45" hidden="false" customHeight="false" outlineLevel="0" collapsed="false">
      <c r="A143" s="17" t="s">
        <v>1739</v>
      </c>
      <c r="B143" s="17" t="s">
        <v>1729</v>
      </c>
      <c r="C143" s="18" t="s">
        <v>1605</v>
      </c>
      <c r="D143" s="18" t="s">
        <v>36</v>
      </c>
      <c r="E143" s="17" t="s">
        <v>1678</v>
      </c>
      <c r="F143" s="18" t="s">
        <v>201</v>
      </c>
      <c r="G143" s="17" t="s">
        <v>202</v>
      </c>
      <c r="H143" s="17" t="s">
        <v>86</v>
      </c>
      <c r="I143" s="17" t="s">
        <v>1740</v>
      </c>
      <c r="J143" s="17" t="s">
        <v>1741</v>
      </c>
      <c r="K143" s="18" t="s">
        <v>126</v>
      </c>
      <c r="L143" s="17" t="s">
        <v>1742</v>
      </c>
      <c r="M143" s="18" t="s">
        <v>231</v>
      </c>
      <c r="N143" s="17" t="s">
        <v>142</v>
      </c>
      <c r="O143" s="19"/>
      <c r="P143" s="17" t="s">
        <v>1743</v>
      </c>
      <c r="Q143" s="17" t="s">
        <v>48</v>
      </c>
      <c r="R143" s="18" t="s">
        <v>49</v>
      </c>
      <c r="S143" s="18" t="s">
        <v>50</v>
      </c>
      <c r="T143" s="17" t="s">
        <v>1734</v>
      </c>
      <c r="U143" s="17" t="s">
        <v>52</v>
      </c>
      <c r="V143" s="17" t="s">
        <v>1744</v>
      </c>
      <c r="W143" s="17" t="s">
        <v>48</v>
      </c>
      <c r="X143" s="17" t="s">
        <v>1745</v>
      </c>
      <c r="Y143" s="18" t="s">
        <v>79</v>
      </c>
      <c r="Z143" s="18" t="s">
        <v>57</v>
      </c>
      <c r="AA143" s="17" t="s">
        <v>1746</v>
      </c>
      <c r="AB143" s="17"/>
      <c r="AC143" s="18" t="s">
        <v>60</v>
      </c>
      <c r="AD143" s="18" t="s">
        <v>1737</v>
      </c>
      <c r="AE143" s="18" t="s">
        <v>148</v>
      </c>
      <c r="AF143" s="18" t="s">
        <v>63</v>
      </c>
      <c r="AG143" s="17" t="s">
        <v>1747</v>
      </c>
    </row>
    <row r="144" customFormat="false" ht="46.25" hidden="false" customHeight="false" outlineLevel="0" collapsed="false">
      <c r="A144" s="17" t="s">
        <v>1748</v>
      </c>
      <c r="B144" s="17" t="s">
        <v>1729</v>
      </c>
      <c r="C144" s="18" t="s">
        <v>1605</v>
      </c>
      <c r="D144" s="18" t="s">
        <v>36</v>
      </c>
      <c r="E144" s="17" t="s">
        <v>137</v>
      </c>
      <c r="F144" s="18" t="s">
        <v>121</v>
      </c>
      <c r="G144" s="17" t="s">
        <v>297</v>
      </c>
      <c r="H144" s="17" t="s">
        <v>86</v>
      </c>
      <c r="I144" s="17" t="s">
        <v>1749</v>
      </c>
      <c r="J144" s="17" t="s">
        <v>1750</v>
      </c>
      <c r="K144" s="18" t="s">
        <v>126</v>
      </c>
      <c r="L144" s="17" t="s">
        <v>1751</v>
      </c>
      <c r="M144" s="18" t="s">
        <v>1752</v>
      </c>
      <c r="N144" s="17" t="s">
        <v>142</v>
      </c>
      <c r="O144" s="19"/>
      <c r="P144" s="17" t="s">
        <v>1753</v>
      </c>
      <c r="Q144" s="17" t="s">
        <v>48</v>
      </c>
      <c r="R144" s="18" t="s">
        <v>49</v>
      </c>
      <c r="S144" s="18" t="s">
        <v>50</v>
      </c>
      <c r="T144" s="17" t="s">
        <v>1734</v>
      </c>
      <c r="U144" s="17" t="s">
        <v>52</v>
      </c>
      <c r="V144" s="17" t="s">
        <v>1692</v>
      </c>
      <c r="W144" s="17" t="s">
        <v>48</v>
      </c>
      <c r="X144" s="17" t="s">
        <v>1754</v>
      </c>
      <c r="Y144" s="18" t="s">
        <v>79</v>
      </c>
      <c r="Z144" s="18" t="s">
        <v>57</v>
      </c>
      <c r="AA144" s="17" t="s">
        <v>1736</v>
      </c>
      <c r="AB144" s="17"/>
      <c r="AC144" s="18" t="s">
        <v>60</v>
      </c>
      <c r="AD144" s="18" t="s">
        <v>1737</v>
      </c>
      <c r="AE144" s="18" t="s">
        <v>148</v>
      </c>
      <c r="AF144" s="18" t="s">
        <v>63</v>
      </c>
      <c r="AG144" s="17" t="s">
        <v>1755</v>
      </c>
    </row>
    <row r="145" customFormat="false" ht="91" hidden="false" customHeight="false" outlineLevel="0" collapsed="false">
      <c r="A145" s="17" t="s">
        <v>1756</v>
      </c>
      <c r="B145" s="17" t="s">
        <v>1757</v>
      </c>
      <c r="C145" s="18" t="s">
        <v>1605</v>
      </c>
      <c r="D145" s="18" t="s">
        <v>36</v>
      </c>
      <c r="E145" s="17" t="s">
        <v>1758</v>
      </c>
      <c r="F145" s="18" t="s">
        <v>121</v>
      </c>
      <c r="G145" s="17" t="s">
        <v>570</v>
      </c>
      <c r="H145" s="17" t="s">
        <v>86</v>
      </c>
      <c r="I145" s="17" t="s">
        <v>1759</v>
      </c>
      <c r="J145" s="17" t="s">
        <v>1760</v>
      </c>
      <c r="K145" s="18" t="s">
        <v>126</v>
      </c>
      <c r="L145" s="17" t="s">
        <v>1761</v>
      </c>
      <c r="M145" s="18" t="s">
        <v>1157</v>
      </c>
      <c r="N145" s="17" t="s">
        <v>142</v>
      </c>
      <c r="O145" s="19"/>
      <c r="P145" s="17" t="s">
        <v>1762</v>
      </c>
      <c r="Q145" s="17" t="s">
        <v>48</v>
      </c>
      <c r="R145" s="18" t="s">
        <v>49</v>
      </c>
      <c r="S145" s="18" t="s">
        <v>50</v>
      </c>
      <c r="T145" s="17" t="s">
        <v>1763</v>
      </c>
      <c r="U145" s="17" t="s">
        <v>263</v>
      </c>
      <c r="V145" s="17" t="s">
        <v>1764</v>
      </c>
      <c r="W145" s="17" t="s">
        <v>48</v>
      </c>
      <c r="X145" s="17" t="s">
        <v>1765</v>
      </c>
      <c r="Y145" s="18" t="s">
        <v>79</v>
      </c>
      <c r="Z145" s="18" t="s">
        <v>57</v>
      </c>
      <c r="AA145" s="17" t="s">
        <v>1766</v>
      </c>
      <c r="AB145" s="17"/>
      <c r="AC145" s="18" t="s">
        <v>60</v>
      </c>
      <c r="AD145" s="18" t="s">
        <v>1767</v>
      </c>
      <c r="AE145" s="18" t="s">
        <v>62</v>
      </c>
      <c r="AF145" s="18" t="s">
        <v>63</v>
      </c>
      <c r="AG145" s="17" t="s">
        <v>1768</v>
      </c>
    </row>
    <row r="146" customFormat="false" ht="79.85" hidden="false" customHeight="false" outlineLevel="0" collapsed="false">
      <c r="A146" s="17" t="s">
        <v>1769</v>
      </c>
      <c r="B146" s="17" t="s">
        <v>1770</v>
      </c>
      <c r="C146" s="18" t="s">
        <v>1605</v>
      </c>
      <c r="D146" s="18" t="s">
        <v>36</v>
      </c>
      <c r="E146" s="17" t="s">
        <v>103</v>
      </c>
      <c r="F146" s="18" t="s">
        <v>201</v>
      </c>
      <c r="G146" s="17" t="s">
        <v>1206</v>
      </c>
      <c r="H146" s="17" t="s">
        <v>86</v>
      </c>
      <c r="I146" s="17" t="s">
        <v>1771</v>
      </c>
      <c r="J146" s="17" t="s">
        <v>1772</v>
      </c>
      <c r="K146" s="18" t="s">
        <v>126</v>
      </c>
      <c r="L146" s="17" t="s">
        <v>1773</v>
      </c>
      <c r="M146" s="18" t="s">
        <v>1752</v>
      </c>
      <c r="N146" s="17" t="s">
        <v>181</v>
      </c>
      <c r="O146" s="19"/>
      <c r="P146" s="17" t="s">
        <v>1774</v>
      </c>
      <c r="Q146" s="17" t="s">
        <v>48</v>
      </c>
      <c r="R146" s="18" t="s">
        <v>49</v>
      </c>
      <c r="S146" s="18" t="s">
        <v>50</v>
      </c>
      <c r="T146" s="17" t="s">
        <v>1775</v>
      </c>
      <c r="U146" s="17" t="s">
        <v>52</v>
      </c>
      <c r="V146" s="17" t="s">
        <v>1776</v>
      </c>
      <c r="W146" s="17" t="s">
        <v>48</v>
      </c>
      <c r="X146" s="17" t="s">
        <v>1777</v>
      </c>
      <c r="Y146" s="18" t="s">
        <v>79</v>
      </c>
      <c r="Z146" s="18" t="s">
        <v>57</v>
      </c>
      <c r="AA146" s="17" t="s">
        <v>1778</v>
      </c>
      <c r="AB146" s="17"/>
      <c r="AC146" s="18" t="s">
        <v>60</v>
      </c>
      <c r="AD146" s="18" t="s">
        <v>1779</v>
      </c>
      <c r="AE146" s="18" t="s">
        <v>148</v>
      </c>
      <c r="AF146" s="18" t="s">
        <v>63</v>
      </c>
      <c r="AG146" s="17" t="s">
        <v>1780</v>
      </c>
    </row>
    <row r="147" customFormat="false" ht="135.8" hidden="false" customHeight="false" outlineLevel="0" collapsed="false">
      <c r="A147" s="20" t="s">
        <v>1781</v>
      </c>
      <c r="B147" s="20" t="s">
        <v>1782</v>
      </c>
      <c r="C147" s="21" t="s">
        <v>1783</v>
      </c>
      <c r="D147" s="21" t="s">
        <v>36</v>
      </c>
      <c r="E147" s="20" t="s">
        <v>482</v>
      </c>
      <c r="F147" s="21" t="s">
        <v>201</v>
      </c>
      <c r="G147" s="20" t="s">
        <v>1784</v>
      </c>
      <c r="H147" s="20" t="s">
        <v>228</v>
      </c>
      <c r="I147" s="20" t="s">
        <v>1785</v>
      </c>
      <c r="J147" s="20" t="s">
        <v>1786</v>
      </c>
      <c r="K147" s="21" t="s">
        <v>126</v>
      </c>
      <c r="L147" s="20" t="s">
        <v>1787</v>
      </c>
      <c r="M147" s="21" t="s">
        <v>1788</v>
      </c>
      <c r="N147" s="20" t="s">
        <v>74</v>
      </c>
      <c r="O147" s="22"/>
      <c r="P147" s="20" t="s">
        <v>1789</v>
      </c>
      <c r="Q147" s="20" t="s">
        <v>48</v>
      </c>
      <c r="R147" s="21" t="s">
        <v>49</v>
      </c>
      <c r="S147" s="21" t="s">
        <v>130</v>
      </c>
      <c r="T147" s="20"/>
      <c r="U147" s="20" t="s">
        <v>263</v>
      </c>
      <c r="V147" s="20" t="s">
        <v>1790</v>
      </c>
      <c r="W147" s="20" t="s">
        <v>1791</v>
      </c>
      <c r="X147" s="20" t="s">
        <v>1792</v>
      </c>
      <c r="Y147" s="21" t="s">
        <v>56</v>
      </c>
      <c r="Z147" s="21" t="s">
        <v>57</v>
      </c>
      <c r="AA147" s="20" t="s">
        <v>1793</v>
      </c>
      <c r="AB147" s="20" t="s">
        <v>1794</v>
      </c>
      <c r="AC147" s="21" t="s">
        <v>98</v>
      </c>
      <c r="AD147" s="21" t="s">
        <v>1795</v>
      </c>
      <c r="AE147" s="21" t="s">
        <v>674</v>
      </c>
      <c r="AF147" s="21" t="s">
        <v>63</v>
      </c>
      <c r="AG147" s="20" t="s">
        <v>1796</v>
      </c>
    </row>
    <row r="148" customFormat="false" ht="113.4" hidden="false" customHeight="false" outlineLevel="0" collapsed="false">
      <c r="A148" s="20" t="s">
        <v>1797</v>
      </c>
      <c r="B148" s="20" t="s">
        <v>1798</v>
      </c>
      <c r="C148" s="21" t="s">
        <v>1783</v>
      </c>
      <c r="D148" s="21" t="s">
        <v>36</v>
      </c>
      <c r="E148" s="20" t="s">
        <v>1799</v>
      </c>
      <c r="F148" s="21" t="s">
        <v>67</v>
      </c>
      <c r="G148" s="20" t="s">
        <v>214</v>
      </c>
      <c r="H148" s="20" t="s">
        <v>1800</v>
      </c>
      <c r="I148" s="20" t="s">
        <v>1801</v>
      </c>
      <c r="J148" s="20" t="s">
        <v>1802</v>
      </c>
      <c r="K148" s="21" t="s">
        <v>71</v>
      </c>
      <c r="L148" s="20" t="s">
        <v>1803</v>
      </c>
      <c r="M148" s="21" t="s">
        <v>1804</v>
      </c>
      <c r="N148" s="20" t="s">
        <v>46</v>
      </c>
      <c r="O148" s="22"/>
      <c r="P148" s="20" t="s">
        <v>1805</v>
      </c>
      <c r="Q148" s="20" t="s">
        <v>48</v>
      </c>
      <c r="R148" s="21" t="s">
        <v>49</v>
      </c>
      <c r="S148" s="21" t="s">
        <v>130</v>
      </c>
      <c r="T148" s="20"/>
      <c r="U148" s="20" t="s">
        <v>52</v>
      </c>
      <c r="V148" s="20" t="s">
        <v>1806</v>
      </c>
      <c r="W148" s="20" t="s">
        <v>48</v>
      </c>
      <c r="X148" s="20" t="s">
        <v>1807</v>
      </c>
      <c r="Y148" s="21" t="s">
        <v>95</v>
      </c>
      <c r="Z148" s="21" t="s">
        <v>57</v>
      </c>
      <c r="AA148" s="20" t="s">
        <v>1808</v>
      </c>
      <c r="AB148" s="20"/>
      <c r="AC148" s="21" t="s">
        <v>98</v>
      </c>
      <c r="AD148" s="21" t="s">
        <v>1809</v>
      </c>
      <c r="AE148" s="21" t="s">
        <v>62</v>
      </c>
      <c r="AF148" s="21" t="s">
        <v>63</v>
      </c>
      <c r="AG148" s="20" t="s">
        <v>1810</v>
      </c>
    </row>
    <row r="149" customFormat="false" ht="135.8" hidden="false" customHeight="false" outlineLevel="0" collapsed="false">
      <c r="A149" s="20" t="s">
        <v>1811</v>
      </c>
      <c r="B149" s="20" t="s">
        <v>1798</v>
      </c>
      <c r="C149" s="21" t="s">
        <v>1783</v>
      </c>
      <c r="D149" s="21" t="s">
        <v>36</v>
      </c>
      <c r="E149" s="20" t="s">
        <v>1812</v>
      </c>
      <c r="F149" s="21" t="s">
        <v>67</v>
      </c>
      <c r="G149" s="20" t="s">
        <v>214</v>
      </c>
      <c r="H149" s="20" t="s">
        <v>86</v>
      </c>
      <c r="I149" s="20" t="s">
        <v>1813</v>
      </c>
      <c r="J149" s="20" t="s">
        <v>1814</v>
      </c>
      <c r="K149" s="21" t="s">
        <v>71</v>
      </c>
      <c r="L149" s="20" t="s">
        <v>1815</v>
      </c>
      <c r="M149" s="21" t="s">
        <v>1816</v>
      </c>
      <c r="N149" s="20" t="s">
        <v>46</v>
      </c>
      <c r="O149" s="22"/>
      <c r="P149" s="20" t="s">
        <v>1817</v>
      </c>
      <c r="Q149" s="20" t="s">
        <v>48</v>
      </c>
      <c r="R149" s="21" t="s">
        <v>49</v>
      </c>
      <c r="S149" s="21" t="s">
        <v>130</v>
      </c>
      <c r="T149" s="20"/>
      <c r="U149" s="20" t="s">
        <v>52</v>
      </c>
      <c r="V149" s="20" t="s">
        <v>1818</v>
      </c>
      <c r="W149" s="20" t="s">
        <v>1791</v>
      </c>
      <c r="X149" s="20" t="s">
        <v>1819</v>
      </c>
      <c r="Y149" s="21" t="s">
        <v>79</v>
      </c>
      <c r="Z149" s="21" t="s">
        <v>57</v>
      </c>
      <c r="AA149" s="20" t="s">
        <v>1820</v>
      </c>
      <c r="AB149" s="20"/>
      <c r="AC149" s="21" t="s">
        <v>98</v>
      </c>
      <c r="AD149" s="21" t="s">
        <v>1821</v>
      </c>
      <c r="AE149" s="21" t="s">
        <v>62</v>
      </c>
      <c r="AF149" s="21" t="s">
        <v>63</v>
      </c>
      <c r="AG149" s="20" t="s">
        <v>1822</v>
      </c>
    </row>
    <row r="150" customFormat="false" ht="113.4" hidden="false" customHeight="false" outlineLevel="0" collapsed="false">
      <c r="A150" s="20" t="s">
        <v>1823</v>
      </c>
      <c r="B150" s="20" t="s">
        <v>1798</v>
      </c>
      <c r="C150" s="21" t="s">
        <v>1783</v>
      </c>
      <c r="D150" s="21" t="s">
        <v>36</v>
      </c>
      <c r="E150" s="20" t="s">
        <v>120</v>
      </c>
      <c r="F150" s="21" t="s">
        <v>121</v>
      </c>
      <c r="G150" s="20" t="s">
        <v>175</v>
      </c>
      <c r="H150" s="20" t="s">
        <v>513</v>
      </c>
      <c r="I150" s="20" t="s">
        <v>1824</v>
      </c>
      <c r="J150" s="20" t="s">
        <v>1825</v>
      </c>
      <c r="K150" s="21" t="s">
        <v>126</v>
      </c>
      <c r="L150" s="20" t="s">
        <v>1826</v>
      </c>
      <c r="M150" s="21" t="s">
        <v>1827</v>
      </c>
      <c r="N150" s="20" t="s">
        <v>46</v>
      </c>
      <c r="O150" s="22"/>
      <c r="P150" s="20" t="s">
        <v>1828</v>
      </c>
      <c r="Q150" s="20" t="s">
        <v>48</v>
      </c>
      <c r="R150" s="21" t="s">
        <v>49</v>
      </c>
      <c r="S150" s="21" t="s">
        <v>130</v>
      </c>
      <c r="T150" s="20"/>
      <c r="U150" s="20" t="s">
        <v>263</v>
      </c>
      <c r="V150" s="20" t="s">
        <v>1829</v>
      </c>
      <c r="W150" s="20" t="s">
        <v>48</v>
      </c>
      <c r="X150" s="20" t="s">
        <v>1830</v>
      </c>
      <c r="Y150" s="21" t="s">
        <v>79</v>
      </c>
      <c r="Z150" s="21" t="s">
        <v>57</v>
      </c>
      <c r="AA150" s="20" t="s">
        <v>1831</v>
      </c>
      <c r="AB150" s="20"/>
      <c r="AC150" s="21" t="s">
        <v>98</v>
      </c>
      <c r="AD150" s="21" t="s">
        <v>1832</v>
      </c>
      <c r="AE150" s="21" t="s">
        <v>62</v>
      </c>
      <c r="AF150" s="21" t="s">
        <v>63</v>
      </c>
      <c r="AG150" s="20" t="s">
        <v>1833</v>
      </c>
    </row>
    <row r="151" customFormat="false" ht="135.8" hidden="false" customHeight="false" outlineLevel="0" collapsed="false">
      <c r="A151" s="20" t="s">
        <v>1834</v>
      </c>
      <c r="B151" s="20" t="s">
        <v>1798</v>
      </c>
      <c r="C151" s="21" t="s">
        <v>1783</v>
      </c>
      <c r="D151" s="21" t="s">
        <v>36</v>
      </c>
      <c r="E151" s="20" t="s">
        <v>1101</v>
      </c>
      <c r="F151" s="21" t="s">
        <v>104</v>
      </c>
      <c r="G151" s="20" t="s">
        <v>1835</v>
      </c>
      <c r="H151" s="20" t="s">
        <v>513</v>
      </c>
      <c r="I151" s="20" t="s">
        <v>1836</v>
      </c>
      <c r="J151" s="20" t="s">
        <v>1837</v>
      </c>
      <c r="K151" s="21" t="s">
        <v>57</v>
      </c>
      <c r="L151" s="20" t="s">
        <v>1838</v>
      </c>
      <c r="M151" s="21" t="s">
        <v>1839</v>
      </c>
      <c r="N151" s="20" t="s">
        <v>46</v>
      </c>
      <c r="O151" s="22"/>
      <c r="P151" s="20" t="s">
        <v>1840</v>
      </c>
      <c r="Q151" s="20" t="s">
        <v>48</v>
      </c>
      <c r="R151" s="21" t="s">
        <v>49</v>
      </c>
      <c r="S151" s="21" t="s">
        <v>130</v>
      </c>
      <c r="T151" s="20"/>
      <c r="U151" s="20" t="s">
        <v>181</v>
      </c>
      <c r="V151" s="20" t="s">
        <v>1841</v>
      </c>
      <c r="W151" s="20" t="s">
        <v>48</v>
      </c>
      <c r="X151" s="20" t="s">
        <v>1842</v>
      </c>
      <c r="Y151" s="21" t="s">
        <v>56</v>
      </c>
      <c r="Z151" s="21" t="s">
        <v>57</v>
      </c>
      <c r="AA151" s="20" t="s">
        <v>1843</v>
      </c>
      <c r="AB151" s="20"/>
      <c r="AC151" s="21" t="s">
        <v>98</v>
      </c>
      <c r="AD151" s="21" t="s">
        <v>1844</v>
      </c>
      <c r="AE151" s="21" t="s">
        <v>674</v>
      </c>
      <c r="AF151" s="21" t="s">
        <v>63</v>
      </c>
      <c r="AG151" s="20" t="s">
        <v>1845</v>
      </c>
    </row>
    <row r="152" customFormat="false" ht="225.35" hidden="false" customHeight="false" outlineLevel="0" collapsed="false">
      <c r="A152" s="20" t="s">
        <v>1846</v>
      </c>
      <c r="B152" s="20" t="s">
        <v>1798</v>
      </c>
      <c r="C152" s="21" t="s">
        <v>1783</v>
      </c>
      <c r="D152" s="21" t="s">
        <v>36</v>
      </c>
      <c r="E152" s="20" t="s">
        <v>1409</v>
      </c>
      <c r="F152" s="21" t="s">
        <v>121</v>
      </c>
      <c r="G152" s="20" t="s">
        <v>1314</v>
      </c>
      <c r="H152" s="20" t="s">
        <v>513</v>
      </c>
      <c r="I152" s="20" t="s">
        <v>1847</v>
      </c>
      <c r="J152" s="20" t="s">
        <v>1848</v>
      </c>
      <c r="K152" s="21" t="s">
        <v>126</v>
      </c>
      <c r="L152" s="20" t="s">
        <v>1849</v>
      </c>
      <c r="M152" s="21" t="s">
        <v>1850</v>
      </c>
      <c r="N152" s="20" t="s">
        <v>46</v>
      </c>
      <c r="O152" s="22"/>
      <c r="P152" s="20" t="s">
        <v>1851</v>
      </c>
      <c r="Q152" s="20" t="s">
        <v>636</v>
      </c>
      <c r="R152" s="21" t="s">
        <v>637</v>
      </c>
      <c r="S152" s="21" t="s">
        <v>130</v>
      </c>
      <c r="T152" s="20"/>
      <c r="U152" s="20" t="s">
        <v>52</v>
      </c>
      <c r="V152" s="20" t="s">
        <v>1852</v>
      </c>
      <c r="W152" s="20" t="s">
        <v>48</v>
      </c>
      <c r="X152" s="20" t="s">
        <v>1853</v>
      </c>
      <c r="Y152" s="21" t="s">
        <v>79</v>
      </c>
      <c r="Z152" s="21" t="s">
        <v>57</v>
      </c>
      <c r="AA152" s="20" t="s">
        <v>1854</v>
      </c>
      <c r="AB152" s="20"/>
      <c r="AC152" s="21" t="s">
        <v>98</v>
      </c>
      <c r="AD152" s="21" t="s">
        <v>1855</v>
      </c>
      <c r="AE152" s="21" t="s">
        <v>674</v>
      </c>
      <c r="AF152" s="21" t="s">
        <v>63</v>
      </c>
      <c r="AG152" s="20" t="s">
        <v>1856</v>
      </c>
    </row>
    <row r="153" customFormat="false" ht="135.8" hidden="false" customHeight="false" outlineLevel="0" collapsed="false">
      <c r="A153" s="20" t="s">
        <v>1857</v>
      </c>
      <c r="B153" s="20" t="s">
        <v>1798</v>
      </c>
      <c r="C153" s="21" t="s">
        <v>1783</v>
      </c>
      <c r="D153" s="21" t="s">
        <v>36</v>
      </c>
      <c r="E153" s="20" t="s">
        <v>227</v>
      </c>
      <c r="F153" s="21" t="s">
        <v>104</v>
      </c>
      <c r="G153" s="20" t="s">
        <v>1484</v>
      </c>
      <c r="H153" s="20" t="s">
        <v>513</v>
      </c>
      <c r="I153" s="20" t="s">
        <v>1858</v>
      </c>
      <c r="J153" s="20" t="s">
        <v>1859</v>
      </c>
      <c r="K153" s="21" t="s">
        <v>216</v>
      </c>
      <c r="L153" s="20" t="s">
        <v>1860</v>
      </c>
      <c r="M153" s="21" t="s">
        <v>1861</v>
      </c>
      <c r="N153" s="20" t="s">
        <v>46</v>
      </c>
      <c r="O153" s="22"/>
      <c r="P153" s="20" t="s">
        <v>1862</v>
      </c>
      <c r="Q153" s="20" t="s">
        <v>48</v>
      </c>
      <c r="R153" s="21" t="s">
        <v>49</v>
      </c>
      <c r="S153" s="21" t="s">
        <v>130</v>
      </c>
      <c r="T153" s="20"/>
      <c r="U153" s="20" t="s">
        <v>52</v>
      </c>
      <c r="V153" s="20" t="s">
        <v>1863</v>
      </c>
      <c r="W153" s="20" t="s">
        <v>48</v>
      </c>
      <c r="X153" s="20" t="s">
        <v>1864</v>
      </c>
      <c r="Y153" s="21" t="s">
        <v>95</v>
      </c>
      <c r="Z153" s="21" t="s">
        <v>57</v>
      </c>
      <c r="AA153" s="20" t="s">
        <v>1865</v>
      </c>
      <c r="AB153" s="20"/>
      <c r="AC153" s="21" t="s">
        <v>98</v>
      </c>
      <c r="AD153" s="21" t="s">
        <v>1866</v>
      </c>
      <c r="AE153" s="21" t="s">
        <v>62</v>
      </c>
      <c r="AF153" s="21" t="s">
        <v>63</v>
      </c>
      <c r="AG153" s="20" t="s">
        <v>1867</v>
      </c>
    </row>
    <row r="154" customFormat="false" ht="102.2" hidden="false" customHeight="false" outlineLevel="0" collapsed="false">
      <c r="A154" s="20" t="s">
        <v>1868</v>
      </c>
      <c r="B154" s="20" t="s">
        <v>1798</v>
      </c>
      <c r="C154" s="21" t="s">
        <v>1783</v>
      </c>
      <c r="D154" s="21" t="s">
        <v>36</v>
      </c>
      <c r="E154" s="20" t="s">
        <v>1678</v>
      </c>
      <c r="F154" s="21" t="s">
        <v>67</v>
      </c>
      <c r="G154" s="20" t="s">
        <v>214</v>
      </c>
      <c r="H154" s="20" t="s">
        <v>513</v>
      </c>
      <c r="I154" s="20" t="s">
        <v>1869</v>
      </c>
      <c r="J154" s="20" t="s">
        <v>1870</v>
      </c>
      <c r="K154" s="21" t="s">
        <v>71</v>
      </c>
      <c r="L154" s="20" t="s">
        <v>1871</v>
      </c>
      <c r="M154" s="21" t="s">
        <v>1872</v>
      </c>
      <c r="N154" s="20" t="s">
        <v>46</v>
      </c>
      <c r="O154" s="22"/>
      <c r="P154" s="20" t="s">
        <v>1873</v>
      </c>
      <c r="Q154" s="20" t="s">
        <v>48</v>
      </c>
      <c r="R154" s="21" t="s">
        <v>49</v>
      </c>
      <c r="S154" s="21" t="s">
        <v>130</v>
      </c>
      <c r="T154" s="20"/>
      <c r="U154" s="20" t="s">
        <v>52</v>
      </c>
      <c r="V154" s="20" t="s">
        <v>1874</v>
      </c>
      <c r="W154" s="20" t="s">
        <v>48</v>
      </c>
      <c r="X154" s="20" t="s">
        <v>1875</v>
      </c>
      <c r="Y154" s="21" t="s">
        <v>79</v>
      </c>
      <c r="Z154" s="21" t="s">
        <v>57</v>
      </c>
      <c r="AA154" s="20" t="s">
        <v>1876</v>
      </c>
      <c r="AB154" s="20"/>
      <c r="AC154" s="21" t="s">
        <v>98</v>
      </c>
      <c r="AD154" s="21" t="s">
        <v>1877</v>
      </c>
      <c r="AE154" s="21" t="s">
        <v>62</v>
      </c>
      <c r="AF154" s="21" t="s">
        <v>63</v>
      </c>
      <c r="AG154" s="20" t="s">
        <v>1878</v>
      </c>
    </row>
    <row r="155" customFormat="false" ht="135.8" hidden="false" customHeight="false" outlineLevel="0" collapsed="false">
      <c r="A155" s="20" t="s">
        <v>1879</v>
      </c>
      <c r="B155" s="20" t="s">
        <v>1798</v>
      </c>
      <c r="C155" s="21" t="s">
        <v>1783</v>
      </c>
      <c r="D155" s="21" t="s">
        <v>36</v>
      </c>
      <c r="E155" s="20" t="s">
        <v>37</v>
      </c>
      <c r="F155" s="21" t="s">
        <v>104</v>
      </c>
      <c r="G155" s="20" t="s">
        <v>214</v>
      </c>
      <c r="H155" s="20" t="s">
        <v>513</v>
      </c>
      <c r="I155" s="20" t="s">
        <v>1880</v>
      </c>
      <c r="J155" s="20" t="s">
        <v>1881</v>
      </c>
      <c r="K155" s="21" t="s">
        <v>57</v>
      </c>
      <c r="L155" s="20" t="s">
        <v>1882</v>
      </c>
      <c r="M155" s="21" t="s">
        <v>1883</v>
      </c>
      <c r="N155" s="20" t="s">
        <v>46</v>
      </c>
      <c r="O155" s="22"/>
      <c r="P155" s="20" t="s">
        <v>1884</v>
      </c>
      <c r="Q155" s="20" t="s">
        <v>48</v>
      </c>
      <c r="R155" s="21" t="s">
        <v>49</v>
      </c>
      <c r="S155" s="21" t="s">
        <v>130</v>
      </c>
      <c r="T155" s="20"/>
      <c r="U155" s="20" t="s">
        <v>263</v>
      </c>
      <c r="V155" s="20" t="s">
        <v>1885</v>
      </c>
      <c r="W155" s="20" t="s">
        <v>48</v>
      </c>
      <c r="X155" s="20" t="s">
        <v>1886</v>
      </c>
      <c r="Y155" s="21" t="s">
        <v>95</v>
      </c>
      <c r="Z155" s="21" t="s">
        <v>57</v>
      </c>
      <c r="AA155" s="20" t="s">
        <v>1887</v>
      </c>
      <c r="AB155" s="20"/>
      <c r="AC155" s="21" t="s">
        <v>98</v>
      </c>
      <c r="AD155" s="21" t="s">
        <v>1888</v>
      </c>
      <c r="AE155" s="21" t="s">
        <v>62</v>
      </c>
      <c r="AF155" s="21" t="s">
        <v>63</v>
      </c>
      <c r="AG155" s="20" t="s">
        <v>1889</v>
      </c>
    </row>
    <row r="156" customFormat="false" ht="79.85" hidden="false" customHeight="false" outlineLevel="0" collapsed="false">
      <c r="A156" s="23" t="s">
        <v>1890</v>
      </c>
      <c r="B156" s="23" t="s">
        <v>1891</v>
      </c>
      <c r="C156" s="24" t="s">
        <v>1892</v>
      </c>
      <c r="D156" s="24" t="s">
        <v>36</v>
      </c>
      <c r="E156" s="23" t="s">
        <v>227</v>
      </c>
      <c r="F156" s="24" t="s">
        <v>104</v>
      </c>
      <c r="G156" s="23" t="s">
        <v>214</v>
      </c>
      <c r="H156" s="23" t="s">
        <v>1893</v>
      </c>
      <c r="I156" s="23" t="s">
        <v>1894</v>
      </c>
      <c r="J156" s="23" t="s">
        <v>1895</v>
      </c>
      <c r="K156" s="24" t="s">
        <v>216</v>
      </c>
      <c r="L156" s="23" t="s">
        <v>1896</v>
      </c>
      <c r="M156" s="24" t="s">
        <v>1897</v>
      </c>
      <c r="N156" s="23" t="s">
        <v>46</v>
      </c>
      <c r="O156" s="25"/>
      <c r="P156" s="23" t="s">
        <v>1898</v>
      </c>
      <c r="Q156" s="23" t="s">
        <v>48</v>
      </c>
      <c r="R156" s="24" t="s">
        <v>49</v>
      </c>
      <c r="S156" s="24" t="s">
        <v>50</v>
      </c>
      <c r="T156" s="23" t="s">
        <v>1899</v>
      </c>
      <c r="U156" s="23" t="s">
        <v>52</v>
      </c>
      <c r="V156" s="23" t="s">
        <v>1900</v>
      </c>
      <c r="W156" s="23" t="s">
        <v>48</v>
      </c>
      <c r="X156" s="23" t="s">
        <v>1901</v>
      </c>
      <c r="Y156" s="24" t="s">
        <v>56</v>
      </c>
      <c r="Z156" s="24" t="s">
        <v>57</v>
      </c>
      <c r="AA156" s="23" t="s">
        <v>1902</v>
      </c>
      <c r="AB156" s="23"/>
      <c r="AC156" s="24" t="s">
        <v>60</v>
      </c>
      <c r="AD156" s="24" t="s">
        <v>1903</v>
      </c>
      <c r="AE156" s="24" t="s">
        <v>148</v>
      </c>
      <c r="AF156" s="24" t="s">
        <v>63</v>
      </c>
      <c r="AG156" s="23" t="s">
        <v>1904</v>
      </c>
    </row>
    <row r="157" customFormat="false" ht="68.65" hidden="false" customHeight="false" outlineLevel="0" collapsed="false">
      <c r="A157" s="23" t="s">
        <v>1905</v>
      </c>
      <c r="B157" s="23" t="s">
        <v>1906</v>
      </c>
      <c r="C157" s="24" t="s">
        <v>1892</v>
      </c>
      <c r="D157" s="24" t="s">
        <v>36</v>
      </c>
      <c r="E157" s="23" t="s">
        <v>120</v>
      </c>
      <c r="F157" s="24" t="s">
        <v>121</v>
      </c>
      <c r="G157" s="23" t="s">
        <v>1907</v>
      </c>
      <c r="H157" s="23" t="s">
        <v>499</v>
      </c>
      <c r="I157" s="23" t="s">
        <v>1908</v>
      </c>
      <c r="J157" s="23" t="s">
        <v>1909</v>
      </c>
      <c r="K157" s="24" t="s">
        <v>126</v>
      </c>
      <c r="L157" s="23" t="s">
        <v>1910</v>
      </c>
      <c r="M157" s="24" t="s">
        <v>57</v>
      </c>
      <c r="N157" s="23" t="s">
        <v>46</v>
      </c>
      <c r="O157" s="25"/>
      <c r="P157" s="23" t="s">
        <v>1911</v>
      </c>
      <c r="Q157" s="23" t="s">
        <v>48</v>
      </c>
      <c r="R157" s="24" t="s">
        <v>49</v>
      </c>
      <c r="S157" s="24" t="s">
        <v>50</v>
      </c>
      <c r="T157" s="23" t="s">
        <v>1912</v>
      </c>
      <c r="U157" s="23" t="s">
        <v>263</v>
      </c>
      <c r="V157" s="23" t="s">
        <v>57</v>
      </c>
      <c r="W157" s="23" t="s">
        <v>48</v>
      </c>
      <c r="X157" s="23" t="s">
        <v>1913</v>
      </c>
      <c r="Y157" s="24" t="s">
        <v>79</v>
      </c>
      <c r="Z157" s="24" t="s">
        <v>57</v>
      </c>
      <c r="AA157" s="23" t="s">
        <v>1914</v>
      </c>
      <c r="AB157" s="23"/>
      <c r="AC157" s="24" t="s">
        <v>60</v>
      </c>
      <c r="AD157" s="24" t="s">
        <v>1915</v>
      </c>
      <c r="AE157" s="24" t="s">
        <v>62</v>
      </c>
      <c r="AF157" s="24" t="s">
        <v>63</v>
      </c>
      <c r="AG157" s="23" t="s">
        <v>1916</v>
      </c>
    </row>
    <row r="158" customFormat="false" ht="113.4" hidden="false" customHeight="false" outlineLevel="0" collapsed="false">
      <c r="A158" s="23" t="s">
        <v>1917</v>
      </c>
      <c r="B158" s="23" t="s">
        <v>1918</v>
      </c>
      <c r="C158" s="24" t="s">
        <v>1892</v>
      </c>
      <c r="D158" s="24" t="s">
        <v>36</v>
      </c>
      <c r="E158" s="23" t="s">
        <v>37</v>
      </c>
      <c r="F158" s="24" t="s">
        <v>104</v>
      </c>
      <c r="G158" s="23" t="s">
        <v>416</v>
      </c>
      <c r="H158" s="23" t="s">
        <v>513</v>
      </c>
      <c r="I158" s="23" t="s">
        <v>1919</v>
      </c>
      <c r="J158" s="23" t="s">
        <v>1920</v>
      </c>
      <c r="K158" s="24" t="s">
        <v>242</v>
      </c>
      <c r="L158" s="23" t="s">
        <v>1921</v>
      </c>
      <c r="M158" s="24" t="s">
        <v>1922</v>
      </c>
      <c r="N158" s="23" t="s">
        <v>46</v>
      </c>
      <c r="O158" s="25"/>
      <c r="P158" s="23" t="s">
        <v>1923</v>
      </c>
      <c r="Q158" s="23" t="s">
        <v>48</v>
      </c>
      <c r="R158" s="24" t="s">
        <v>49</v>
      </c>
      <c r="S158" s="24" t="s">
        <v>130</v>
      </c>
      <c r="T158" s="23"/>
      <c r="U158" s="23" t="s">
        <v>181</v>
      </c>
      <c r="V158" s="23" t="s">
        <v>506</v>
      </c>
      <c r="W158" s="23" t="s">
        <v>48</v>
      </c>
      <c r="X158" s="23" t="s">
        <v>1924</v>
      </c>
      <c r="Y158" s="24" t="s">
        <v>95</v>
      </c>
      <c r="Z158" s="24" t="s">
        <v>57</v>
      </c>
      <c r="AA158" s="23" t="s">
        <v>1925</v>
      </c>
      <c r="AB158" s="23"/>
      <c r="AC158" s="24" t="s">
        <v>98</v>
      </c>
      <c r="AD158" s="24" t="s">
        <v>1926</v>
      </c>
      <c r="AE158" s="24" t="s">
        <v>62</v>
      </c>
      <c r="AF158" s="24" t="s">
        <v>63</v>
      </c>
      <c r="AG158" s="23" t="s">
        <v>1927</v>
      </c>
    </row>
    <row r="159" customFormat="false" ht="102.2" hidden="false" customHeight="false" outlineLevel="0" collapsed="false">
      <c r="A159" s="23" t="s">
        <v>1928</v>
      </c>
      <c r="B159" s="23" t="s">
        <v>1929</v>
      </c>
      <c r="C159" s="24" t="s">
        <v>1892</v>
      </c>
      <c r="D159" s="24" t="s">
        <v>36</v>
      </c>
      <c r="E159" s="23" t="s">
        <v>37</v>
      </c>
      <c r="F159" s="24" t="s">
        <v>104</v>
      </c>
      <c r="G159" s="23" t="s">
        <v>214</v>
      </c>
      <c r="H159" s="23" t="s">
        <v>513</v>
      </c>
      <c r="I159" s="23" t="s">
        <v>1930</v>
      </c>
      <c r="J159" s="23" t="s">
        <v>1931</v>
      </c>
      <c r="K159" s="24" t="s">
        <v>57</v>
      </c>
      <c r="L159" s="23" t="s">
        <v>1932</v>
      </c>
      <c r="M159" s="24" t="s">
        <v>1933</v>
      </c>
      <c r="N159" s="23" t="s">
        <v>46</v>
      </c>
      <c r="O159" s="25"/>
      <c r="P159" s="23" t="s">
        <v>1934</v>
      </c>
      <c r="Q159" s="23" t="s">
        <v>48</v>
      </c>
      <c r="R159" s="24" t="s">
        <v>49</v>
      </c>
      <c r="S159" s="24" t="s">
        <v>130</v>
      </c>
      <c r="T159" s="23"/>
      <c r="U159" s="23" t="s">
        <v>181</v>
      </c>
      <c r="V159" s="23" t="s">
        <v>506</v>
      </c>
      <c r="W159" s="23" t="s">
        <v>48</v>
      </c>
      <c r="X159" s="23" t="s">
        <v>1935</v>
      </c>
      <c r="Y159" s="24" t="s">
        <v>95</v>
      </c>
      <c r="Z159" s="24" t="s">
        <v>57</v>
      </c>
      <c r="AA159" s="23" t="s">
        <v>1936</v>
      </c>
      <c r="AB159" s="23"/>
      <c r="AC159" s="24" t="s">
        <v>98</v>
      </c>
      <c r="AD159" s="24" t="s">
        <v>1937</v>
      </c>
      <c r="AE159" s="24" t="s">
        <v>62</v>
      </c>
      <c r="AF159" s="24" t="s">
        <v>63</v>
      </c>
      <c r="AG159" s="23" t="s">
        <v>1938</v>
      </c>
    </row>
    <row r="160" customFormat="false" ht="68.65" hidden="false" customHeight="false" outlineLevel="0" collapsed="false">
      <c r="A160" s="23" t="s">
        <v>1939</v>
      </c>
      <c r="B160" s="23" t="s">
        <v>1940</v>
      </c>
      <c r="C160" s="24" t="s">
        <v>1892</v>
      </c>
      <c r="D160" s="24" t="s">
        <v>36</v>
      </c>
      <c r="E160" s="23" t="s">
        <v>120</v>
      </c>
      <c r="F160" s="24" t="s">
        <v>121</v>
      </c>
      <c r="G160" s="23" t="s">
        <v>122</v>
      </c>
      <c r="H160" s="23" t="s">
        <v>1893</v>
      </c>
      <c r="I160" s="23" t="s">
        <v>1941</v>
      </c>
      <c r="J160" s="23" t="s">
        <v>1942</v>
      </c>
      <c r="K160" s="24" t="s">
        <v>126</v>
      </c>
      <c r="L160" s="23" t="s">
        <v>1943</v>
      </c>
      <c r="M160" s="24" t="s">
        <v>1944</v>
      </c>
      <c r="N160" s="23" t="s">
        <v>46</v>
      </c>
      <c r="O160" s="25"/>
      <c r="P160" s="23" t="s">
        <v>1945</v>
      </c>
      <c r="Q160" s="23" t="s">
        <v>48</v>
      </c>
      <c r="R160" s="24" t="s">
        <v>49</v>
      </c>
      <c r="S160" s="24" t="s">
        <v>50</v>
      </c>
      <c r="T160" s="23" t="s">
        <v>1946</v>
      </c>
      <c r="U160" s="23" t="s">
        <v>263</v>
      </c>
      <c r="V160" s="23" t="s">
        <v>1947</v>
      </c>
      <c r="W160" s="23" t="s">
        <v>48</v>
      </c>
      <c r="X160" s="23" t="s">
        <v>1948</v>
      </c>
      <c r="Y160" s="24" t="s">
        <v>79</v>
      </c>
      <c r="Z160" s="24" t="s">
        <v>57</v>
      </c>
      <c r="AA160" s="23" t="s">
        <v>1949</v>
      </c>
      <c r="AB160" s="23"/>
      <c r="AC160" s="24" t="s">
        <v>60</v>
      </c>
      <c r="AD160" s="24" t="s">
        <v>1950</v>
      </c>
      <c r="AE160" s="24" t="s">
        <v>148</v>
      </c>
      <c r="AF160" s="24" t="s">
        <v>63</v>
      </c>
      <c r="AG160" s="23" t="s">
        <v>1951</v>
      </c>
    </row>
    <row r="161" customFormat="false" ht="57.45" hidden="false" customHeight="false" outlineLevel="0" collapsed="false">
      <c r="A161" s="23" t="s">
        <v>1952</v>
      </c>
      <c r="B161" s="23" t="s">
        <v>1953</v>
      </c>
      <c r="C161" s="24" t="s">
        <v>1892</v>
      </c>
      <c r="D161" s="24" t="s">
        <v>36</v>
      </c>
      <c r="E161" s="23" t="s">
        <v>120</v>
      </c>
      <c r="F161" s="24" t="s">
        <v>121</v>
      </c>
      <c r="G161" s="23" t="s">
        <v>1907</v>
      </c>
      <c r="H161" s="23" t="s">
        <v>1954</v>
      </c>
      <c r="I161" s="23" t="s">
        <v>1955</v>
      </c>
      <c r="J161" s="23" t="s">
        <v>1956</v>
      </c>
      <c r="K161" s="24" t="s">
        <v>126</v>
      </c>
      <c r="L161" s="23" t="s">
        <v>1957</v>
      </c>
      <c r="M161" s="24" t="s">
        <v>1958</v>
      </c>
      <c r="N161" s="23" t="s">
        <v>142</v>
      </c>
      <c r="O161" s="25"/>
      <c r="P161" s="23" t="s">
        <v>1959</v>
      </c>
      <c r="Q161" s="23" t="s">
        <v>48</v>
      </c>
      <c r="R161" s="24" t="s">
        <v>49</v>
      </c>
      <c r="S161" s="24" t="s">
        <v>50</v>
      </c>
      <c r="T161" s="23" t="s">
        <v>1960</v>
      </c>
      <c r="U161" s="23" t="s">
        <v>263</v>
      </c>
      <c r="V161" s="23" t="s">
        <v>57</v>
      </c>
      <c r="W161" s="23" t="s">
        <v>48</v>
      </c>
      <c r="X161" s="23" t="s">
        <v>1961</v>
      </c>
      <c r="Y161" s="24" t="s">
        <v>79</v>
      </c>
      <c r="Z161" s="24" t="s">
        <v>57</v>
      </c>
      <c r="AA161" s="23" t="s">
        <v>1962</v>
      </c>
      <c r="AB161" s="23"/>
      <c r="AC161" s="24" t="s">
        <v>60</v>
      </c>
      <c r="AD161" s="24" t="s">
        <v>1963</v>
      </c>
      <c r="AE161" s="24" t="s">
        <v>148</v>
      </c>
      <c r="AF161" s="24" t="s">
        <v>63</v>
      </c>
      <c r="AG161" s="23" t="s">
        <v>1964</v>
      </c>
    </row>
    <row r="162" customFormat="false" ht="113.4" hidden="false" customHeight="false" outlineLevel="0" collapsed="false">
      <c r="A162" s="23" t="s">
        <v>1965</v>
      </c>
      <c r="B162" s="23" t="s">
        <v>1966</v>
      </c>
      <c r="C162" s="24" t="s">
        <v>1892</v>
      </c>
      <c r="D162" s="24" t="s">
        <v>36</v>
      </c>
      <c r="E162" s="23" t="s">
        <v>37</v>
      </c>
      <c r="F162" s="24" t="s">
        <v>871</v>
      </c>
      <c r="G162" s="23" t="s">
        <v>214</v>
      </c>
      <c r="H162" s="23" t="s">
        <v>513</v>
      </c>
      <c r="I162" s="23" t="s">
        <v>1967</v>
      </c>
      <c r="J162" s="23" t="s">
        <v>1968</v>
      </c>
      <c r="K162" s="24" t="s">
        <v>216</v>
      </c>
      <c r="L162" s="23" t="s">
        <v>1969</v>
      </c>
      <c r="M162" s="24" t="s">
        <v>1970</v>
      </c>
      <c r="N162" s="23" t="s">
        <v>46</v>
      </c>
      <c r="O162" s="25"/>
      <c r="P162" s="23" t="s">
        <v>1971</v>
      </c>
      <c r="Q162" s="23" t="s">
        <v>48</v>
      </c>
      <c r="R162" s="24" t="s">
        <v>49</v>
      </c>
      <c r="S162" s="24" t="s">
        <v>130</v>
      </c>
      <c r="T162" s="23"/>
      <c r="U162" s="23" t="s">
        <v>181</v>
      </c>
      <c r="V162" s="23" t="s">
        <v>506</v>
      </c>
      <c r="W162" s="23" t="s">
        <v>48</v>
      </c>
      <c r="X162" s="23" t="s">
        <v>1972</v>
      </c>
      <c r="Y162" s="24" t="s">
        <v>95</v>
      </c>
      <c r="Z162" s="24" t="s">
        <v>57</v>
      </c>
      <c r="AA162" s="23" t="s">
        <v>1973</v>
      </c>
      <c r="AB162" s="23"/>
      <c r="AC162" s="24" t="s">
        <v>98</v>
      </c>
      <c r="AD162" s="24" t="s">
        <v>1974</v>
      </c>
      <c r="AE162" s="24" t="s">
        <v>62</v>
      </c>
      <c r="AF162" s="24" t="s">
        <v>63</v>
      </c>
      <c r="AG162" s="23" t="s">
        <v>1975</v>
      </c>
    </row>
    <row r="163" customFormat="false" ht="113.4" hidden="false" customHeight="false" outlineLevel="0" collapsed="false">
      <c r="A163" s="23" t="s">
        <v>1976</v>
      </c>
      <c r="B163" s="23" t="s">
        <v>1977</v>
      </c>
      <c r="C163" s="24" t="s">
        <v>1892</v>
      </c>
      <c r="D163" s="24" t="s">
        <v>36</v>
      </c>
      <c r="E163" s="23" t="s">
        <v>1978</v>
      </c>
      <c r="F163" s="24" t="s">
        <v>121</v>
      </c>
      <c r="G163" s="23" t="s">
        <v>1484</v>
      </c>
      <c r="H163" s="23" t="s">
        <v>1954</v>
      </c>
      <c r="I163" s="23" t="s">
        <v>1979</v>
      </c>
      <c r="J163" s="23" t="s">
        <v>1980</v>
      </c>
      <c r="K163" s="24" t="s">
        <v>126</v>
      </c>
      <c r="L163" s="23" t="s">
        <v>1981</v>
      </c>
      <c r="M163" s="24" t="s">
        <v>1982</v>
      </c>
      <c r="N163" s="23" t="s">
        <v>46</v>
      </c>
      <c r="O163" s="25"/>
      <c r="P163" s="23" t="s">
        <v>1983</v>
      </c>
      <c r="Q163" s="23" t="s">
        <v>48</v>
      </c>
      <c r="R163" s="24" t="s">
        <v>49</v>
      </c>
      <c r="S163" s="24" t="s">
        <v>50</v>
      </c>
      <c r="T163" s="23" t="s">
        <v>1984</v>
      </c>
      <c r="U163" s="23" t="s">
        <v>52</v>
      </c>
      <c r="V163" s="23" t="s">
        <v>57</v>
      </c>
      <c r="W163" s="23" t="s">
        <v>48</v>
      </c>
      <c r="X163" s="23" t="s">
        <v>1985</v>
      </c>
      <c r="Y163" s="24" t="s">
        <v>79</v>
      </c>
      <c r="Z163" s="24" t="s">
        <v>57</v>
      </c>
      <c r="AA163" s="23" t="s">
        <v>1986</v>
      </c>
      <c r="AB163" s="23"/>
      <c r="AC163" s="24" t="s">
        <v>60</v>
      </c>
      <c r="AD163" s="24" t="s">
        <v>1987</v>
      </c>
      <c r="AE163" s="24" t="s">
        <v>148</v>
      </c>
      <c r="AF163" s="24" t="s">
        <v>63</v>
      </c>
      <c r="AG163" s="23" t="s">
        <v>1988</v>
      </c>
    </row>
    <row r="164" customFormat="false" ht="68.65" hidden="false" customHeight="false" outlineLevel="0" collapsed="false">
      <c r="A164" s="23" t="s">
        <v>1989</v>
      </c>
      <c r="B164" s="23" t="s">
        <v>1990</v>
      </c>
      <c r="C164" s="24" t="s">
        <v>1892</v>
      </c>
      <c r="D164" s="24" t="s">
        <v>36</v>
      </c>
      <c r="E164" s="23" t="s">
        <v>120</v>
      </c>
      <c r="F164" s="24" t="s">
        <v>121</v>
      </c>
      <c r="G164" s="23" t="s">
        <v>1907</v>
      </c>
      <c r="H164" s="23" t="s">
        <v>1893</v>
      </c>
      <c r="I164" s="23" t="s">
        <v>1991</v>
      </c>
      <c r="J164" s="23" t="s">
        <v>1992</v>
      </c>
      <c r="K164" s="24" t="s">
        <v>126</v>
      </c>
      <c r="L164" s="23" t="s">
        <v>1993</v>
      </c>
      <c r="M164" s="24" t="s">
        <v>1994</v>
      </c>
      <c r="N164" s="23" t="s">
        <v>142</v>
      </c>
      <c r="O164" s="25"/>
      <c r="P164" s="23" t="s">
        <v>1995</v>
      </c>
      <c r="Q164" s="23" t="s">
        <v>48</v>
      </c>
      <c r="R164" s="24" t="s">
        <v>49</v>
      </c>
      <c r="S164" s="24" t="s">
        <v>50</v>
      </c>
      <c r="T164" s="23" t="s">
        <v>1996</v>
      </c>
      <c r="U164" s="23" t="s">
        <v>52</v>
      </c>
      <c r="V164" s="23" t="s">
        <v>57</v>
      </c>
      <c r="W164" s="23" t="s">
        <v>48</v>
      </c>
      <c r="X164" s="23" t="s">
        <v>1997</v>
      </c>
      <c r="Y164" s="24" t="s">
        <v>79</v>
      </c>
      <c r="Z164" s="24" t="s">
        <v>57</v>
      </c>
      <c r="AA164" s="23" t="s">
        <v>1998</v>
      </c>
      <c r="AB164" s="23"/>
      <c r="AC164" s="24" t="s">
        <v>60</v>
      </c>
      <c r="AD164" s="24" t="s">
        <v>1999</v>
      </c>
      <c r="AE164" s="24" t="s">
        <v>148</v>
      </c>
      <c r="AF164" s="24" t="s">
        <v>63</v>
      </c>
      <c r="AG164" s="23" t="s">
        <v>2000</v>
      </c>
    </row>
    <row r="165" customFormat="false" ht="113.4" hidden="false" customHeight="false" outlineLevel="0" collapsed="false">
      <c r="A165" s="23" t="s">
        <v>2001</v>
      </c>
      <c r="B165" s="23" t="s">
        <v>2002</v>
      </c>
      <c r="C165" s="24" t="s">
        <v>1892</v>
      </c>
      <c r="D165" s="24" t="s">
        <v>36</v>
      </c>
      <c r="E165" s="23" t="s">
        <v>1812</v>
      </c>
      <c r="F165" s="24" t="s">
        <v>104</v>
      </c>
      <c r="G165" s="23" t="s">
        <v>214</v>
      </c>
      <c r="H165" s="23" t="s">
        <v>86</v>
      </c>
      <c r="I165" s="23" t="s">
        <v>2003</v>
      </c>
      <c r="J165" s="23" t="s">
        <v>2004</v>
      </c>
      <c r="K165" s="24" t="s">
        <v>216</v>
      </c>
      <c r="L165" s="23" t="s">
        <v>2005</v>
      </c>
      <c r="M165" s="24" t="s">
        <v>2006</v>
      </c>
      <c r="N165" s="23" t="s">
        <v>142</v>
      </c>
      <c r="O165" s="25"/>
      <c r="P165" s="23" t="s">
        <v>2007</v>
      </c>
      <c r="Q165" s="23" t="s">
        <v>48</v>
      </c>
      <c r="R165" s="24" t="s">
        <v>49</v>
      </c>
      <c r="S165" s="24" t="s">
        <v>50</v>
      </c>
      <c r="T165" s="23" t="s">
        <v>2008</v>
      </c>
      <c r="U165" s="23" t="s">
        <v>52</v>
      </c>
      <c r="V165" s="23" t="s">
        <v>57</v>
      </c>
      <c r="W165" s="23" t="s">
        <v>48</v>
      </c>
      <c r="X165" s="23" t="s">
        <v>2009</v>
      </c>
      <c r="Y165" s="24" t="s">
        <v>56</v>
      </c>
      <c r="Z165" s="24" t="s">
        <v>57</v>
      </c>
      <c r="AA165" s="23" t="s">
        <v>2010</v>
      </c>
      <c r="AB165" s="23"/>
      <c r="AC165" s="24" t="s">
        <v>60</v>
      </c>
      <c r="AD165" s="24" t="s">
        <v>2011</v>
      </c>
      <c r="AE165" s="24" t="s">
        <v>62</v>
      </c>
      <c r="AF165" s="24" t="s">
        <v>63</v>
      </c>
      <c r="AG165" s="23" t="s">
        <v>2012</v>
      </c>
    </row>
    <row r="166" customFormat="false" ht="68.65" hidden="false" customHeight="false" outlineLevel="0" collapsed="false">
      <c r="A166" s="23" t="s">
        <v>2013</v>
      </c>
      <c r="B166" s="23" t="s">
        <v>2014</v>
      </c>
      <c r="C166" s="24" t="s">
        <v>1892</v>
      </c>
      <c r="D166" s="24" t="s">
        <v>36</v>
      </c>
      <c r="E166" s="23" t="s">
        <v>120</v>
      </c>
      <c r="F166" s="24" t="s">
        <v>121</v>
      </c>
      <c r="G166" s="23" t="s">
        <v>214</v>
      </c>
      <c r="H166" s="23" t="s">
        <v>1893</v>
      </c>
      <c r="I166" s="23" t="s">
        <v>2015</v>
      </c>
      <c r="J166" s="23" t="s">
        <v>2016</v>
      </c>
      <c r="K166" s="24" t="s">
        <v>126</v>
      </c>
      <c r="L166" s="23" t="s">
        <v>2017</v>
      </c>
      <c r="M166" s="24" t="s">
        <v>2018</v>
      </c>
      <c r="N166" s="23" t="s">
        <v>46</v>
      </c>
      <c r="O166" s="25"/>
      <c r="P166" s="23" t="s">
        <v>2019</v>
      </c>
      <c r="Q166" s="23" t="s">
        <v>48</v>
      </c>
      <c r="R166" s="24" t="s">
        <v>49</v>
      </c>
      <c r="S166" s="24" t="s">
        <v>130</v>
      </c>
      <c r="T166" s="23"/>
      <c r="U166" s="23" t="s">
        <v>263</v>
      </c>
      <c r="V166" s="23" t="s">
        <v>57</v>
      </c>
      <c r="W166" s="23" t="s">
        <v>48</v>
      </c>
      <c r="X166" s="23" t="s">
        <v>2020</v>
      </c>
      <c r="Y166" s="24" t="s">
        <v>79</v>
      </c>
      <c r="Z166" s="24" t="s">
        <v>2021</v>
      </c>
      <c r="AA166" s="23" t="s">
        <v>2022</v>
      </c>
      <c r="AB166" s="23"/>
      <c r="AC166" s="24" t="s">
        <v>60</v>
      </c>
      <c r="AD166" s="24" t="s">
        <v>2023</v>
      </c>
      <c r="AE166" s="24" t="s">
        <v>148</v>
      </c>
      <c r="AF166" s="24" t="s">
        <v>63</v>
      </c>
      <c r="AG166" s="23" t="s">
        <v>2024</v>
      </c>
    </row>
    <row r="167" customFormat="false" ht="102.2" hidden="false" customHeight="false" outlineLevel="0" collapsed="false">
      <c r="A167" s="26" t="s">
        <v>2025</v>
      </c>
      <c r="B167" s="26" t="s">
        <v>2026</v>
      </c>
      <c r="C167" s="27" t="s">
        <v>2027</v>
      </c>
      <c r="D167" s="27" t="s">
        <v>36</v>
      </c>
      <c r="E167" s="26" t="s">
        <v>137</v>
      </c>
      <c r="F167" s="27" t="s">
        <v>121</v>
      </c>
      <c r="G167" s="26" t="s">
        <v>1496</v>
      </c>
      <c r="H167" s="26" t="s">
        <v>630</v>
      </c>
      <c r="I167" s="26" t="s">
        <v>2028</v>
      </c>
      <c r="J167" s="26" t="s">
        <v>2029</v>
      </c>
      <c r="K167" s="27" t="s">
        <v>126</v>
      </c>
      <c r="L167" s="26" t="s">
        <v>2030</v>
      </c>
      <c r="M167" s="27" t="s">
        <v>289</v>
      </c>
      <c r="N167" s="26" t="s">
        <v>2031</v>
      </c>
      <c r="O167" s="28" t="n">
        <v>2</v>
      </c>
      <c r="P167" s="26" t="s">
        <v>2032</v>
      </c>
      <c r="Q167" s="26" t="s">
        <v>48</v>
      </c>
      <c r="R167" s="27" t="s">
        <v>49</v>
      </c>
      <c r="S167" s="27" t="s">
        <v>130</v>
      </c>
      <c r="T167" s="26"/>
      <c r="U167" s="26" t="s">
        <v>52</v>
      </c>
      <c r="V167" s="26" t="s">
        <v>2033</v>
      </c>
      <c r="W167" s="26" t="s">
        <v>48</v>
      </c>
      <c r="X167" s="26" t="s">
        <v>2034</v>
      </c>
      <c r="Y167" s="27" t="s">
        <v>95</v>
      </c>
      <c r="Z167" s="27" t="s">
        <v>2035</v>
      </c>
      <c r="AA167" s="26" t="s">
        <v>2036</v>
      </c>
      <c r="AB167" s="26"/>
      <c r="AC167" s="27" t="s">
        <v>60</v>
      </c>
      <c r="AD167" s="27" t="s">
        <v>2037</v>
      </c>
      <c r="AE167" s="27" t="s">
        <v>148</v>
      </c>
      <c r="AF167" s="27" t="s">
        <v>63</v>
      </c>
      <c r="AG167" s="26" t="s">
        <v>2038</v>
      </c>
    </row>
    <row r="168" customFormat="false" ht="124.6" hidden="false" customHeight="false" outlineLevel="0" collapsed="false">
      <c r="A168" s="26" t="s">
        <v>2039</v>
      </c>
      <c r="B168" s="26" t="s">
        <v>2026</v>
      </c>
      <c r="C168" s="27" t="s">
        <v>2027</v>
      </c>
      <c r="D168" s="27" t="s">
        <v>36</v>
      </c>
      <c r="E168" s="26" t="s">
        <v>103</v>
      </c>
      <c r="F168" s="27" t="s">
        <v>201</v>
      </c>
      <c r="G168" s="26" t="s">
        <v>2040</v>
      </c>
      <c r="H168" s="26" t="s">
        <v>630</v>
      </c>
      <c r="I168" s="26" t="s">
        <v>2041</v>
      </c>
      <c r="J168" s="26" t="s">
        <v>2042</v>
      </c>
      <c r="K168" s="27" t="s">
        <v>126</v>
      </c>
      <c r="L168" s="26" t="s">
        <v>2043</v>
      </c>
      <c r="M168" s="27" t="s">
        <v>720</v>
      </c>
      <c r="N168" s="26" t="s">
        <v>46</v>
      </c>
      <c r="O168" s="28"/>
      <c r="P168" s="26" t="s">
        <v>2044</v>
      </c>
      <c r="Q168" s="26" t="s">
        <v>48</v>
      </c>
      <c r="R168" s="27" t="s">
        <v>49</v>
      </c>
      <c r="S168" s="27" t="s">
        <v>130</v>
      </c>
      <c r="T168" s="26"/>
      <c r="U168" s="26" t="s">
        <v>52</v>
      </c>
      <c r="V168" s="26" t="s">
        <v>57</v>
      </c>
      <c r="W168" s="26" t="s">
        <v>181</v>
      </c>
      <c r="X168" s="26" t="s">
        <v>2045</v>
      </c>
      <c r="Y168" s="27" t="s">
        <v>79</v>
      </c>
      <c r="Z168" s="27" t="s">
        <v>2046</v>
      </c>
      <c r="AA168" s="26" t="s">
        <v>2047</v>
      </c>
      <c r="AB168" s="26"/>
      <c r="AC168" s="27" t="s">
        <v>60</v>
      </c>
      <c r="AD168" s="27" t="s">
        <v>2048</v>
      </c>
      <c r="AE168" s="27" t="s">
        <v>148</v>
      </c>
      <c r="AF168" s="27" t="s">
        <v>63</v>
      </c>
      <c r="AG168" s="26" t="s">
        <v>2049</v>
      </c>
    </row>
    <row r="169" customFormat="false" ht="113.4" hidden="false" customHeight="false" outlineLevel="0" collapsed="false">
      <c r="A169" s="26" t="s">
        <v>2050</v>
      </c>
      <c r="B169" s="26" t="s">
        <v>2051</v>
      </c>
      <c r="C169" s="27" t="s">
        <v>2027</v>
      </c>
      <c r="D169" s="27" t="s">
        <v>36</v>
      </c>
      <c r="E169" s="26" t="s">
        <v>1799</v>
      </c>
      <c r="F169" s="27" t="s">
        <v>121</v>
      </c>
      <c r="G169" s="26" t="s">
        <v>1220</v>
      </c>
      <c r="H169" s="26" t="s">
        <v>513</v>
      </c>
      <c r="I169" s="26" t="s">
        <v>2052</v>
      </c>
      <c r="J169" s="26" t="s">
        <v>2053</v>
      </c>
      <c r="K169" s="27" t="s">
        <v>57</v>
      </c>
      <c r="L169" s="26" t="s">
        <v>2054</v>
      </c>
      <c r="M169" s="27" t="s">
        <v>2055</v>
      </c>
      <c r="N169" s="26" t="s">
        <v>74</v>
      </c>
      <c r="O169" s="28"/>
      <c r="P169" s="26" t="s">
        <v>2056</v>
      </c>
      <c r="Q169" s="26" t="s">
        <v>48</v>
      </c>
      <c r="R169" s="27" t="s">
        <v>49</v>
      </c>
      <c r="S169" s="27" t="s">
        <v>130</v>
      </c>
      <c r="T169" s="26"/>
      <c r="U169" s="26" t="s">
        <v>52</v>
      </c>
      <c r="V169" s="26" t="s">
        <v>2057</v>
      </c>
      <c r="W169" s="26" t="s">
        <v>48</v>
      </c>
      <c r="X169" s="26" t="s">
        <v>2058</v>
      </c>
      <c r="Y169" s="27" t="s">
        <v>79</v>
      </c>
      <c r="Z169" s="27" t="s">
        <v>2059</v>
      </c>
      <c r="AA169" s="26" t="s">
        <v>2060</v>
      </c>
      <c r="AB169" s="26"/>
      <c r="AC169" s="27" t="s">
        <v>60</v>
      </c>
      <c r="AD169" s="27" t="s">
        <v>2061</v>
      </c>
      <c r="AE169" s="27" t="s">
        <v>148</v>
      </c>
      <c r="AF169" s="27" t="s">
        <v>63</v>
      </c>
      <c r="AG169" s="26" t="s">
        <v>2062</v>
      </c>
    </row>
    <row r="170" customFormat="false" ht="102.2" hidden="false" customHeight="false" outlineLevel="0" collapsed="false">
      <c r="A170" s="26" t="s">
        <v>2063</v>
      </c>
      <c r="B170" s="26" t="s">
        <v>2051</v>
      </c>
      <c r="C170" s="27" t="s">
        <v>2027</v>
      </c>
      <c r="D170" s="27" t="s">
        <v>36</v>
      </c>
      <c r="E170" s="26" t="s">
        <v>498</v>
      </c>
      <c r="F170" s="27" t="s">
        <v>121</v>
      </c>
      <c r="G170" s="26" t="s">
        <v>2064</v>
      </c>
      <c r="H170" s="26" t="s">
        <v>513</v>
      </c>
      <c r="I170" s="26" t="s">
        <v>2065</v>
      </c>
      <c r="J170" s="26" t="s">
        <v>2066</v>
      </c>
      <c r="K170" s="27" t="s">
        <v>126</v>
      </c>
      <c r="L170" s="26" t="s">
        <v>2067</v>
      </c>
      <c r="M170" s="27" t="s">
        <v>2068</v>
      </c>
      <c r="N170" s="26" t="s">
        <v>74</v>
      </c>
      <c r="O170" s="28"/>
      <c r="P170" s="26" t="s">
        <v>2069</v>
      </c>
      <c r="Q170" s="26" t="s">
        <v>48</v>
      </c>
      <c r="R170" s="27" t="s">
        <v>49</v>
      </c>
      <c r="S170" s="27" t="s">
        <v>130</v>
      </c>
      <c r="T170" s="26"/>
      <c r="U170" s="26" t="s">
        <v>52</v>
      </c>
      <c r="V170" s="26" t="s">
        <v>2070</v>
      </c>
      <c r="W170" s="26" t="s">
        <v>48</v>
      </c>
      <c r="X170" s="26" t="s">
        <v>2071</v>
      </c>
      <c r="Y170" s="27" t="s">
        <v>79</v>
      </c>
      <c r="Z170" s="27" t="s">
        <v>2035</v>
      </c>
      <c r="AA170" s="26" t="s">
        <v>2072</v>
      </c>
      <c r="AB170" s="26"/>
      <c r="AC170" s="27" t="s">
        <v>60</v>
      </c>
      <c r="AD170" s="27" t="s">
        <v>2073</v>
      </c>
      <c r="AE170" s="27" t="s">
        <v>148</v>
      </c>
      <c r="AF170" s="27" t="s">
        <v>63</v>
      </c>
      <c r="AG170" s="26" t="s">
        <v>2074</v>
      </c>
    </row>
    <row r="171" customFormat="false" ht="135.8" hidden="false" customHeight="false" outlineLevel="0" collapsed="false">
      <c r="A171" s="26" t="s">
        <v>2075</v>
      </c>
      <c r="B171" s="26" t="s">
        <v>2076</v>
      </c>
      <c r="C171" s="27" t="s">
        <v>2027</v>
      </c>
      <c r="D171" s="27" t="s">
        <v>36</v>
      </c>
      <c r="E171" s="26" t="s">
        <v>296</v>
      </c>
      <c r="F171" s="27" t="s">
        <v>121</v>
      </c>
      <c r="G171" s="26" t="s">
        <v>1907</v>
      </c>
      <c r="H171" s="26" t="s">
        <v>513</v>
      </c>
      <c r="I171" s="26" t="s">
        <v>2077</v>
      </c>
      <c r="J171" s="26" t="s">
        <v>2078</v>
      </c>
      <c r="K171" s="27" t="s">
        <v>126</v>
      </c>
      <c r="L171" s="26" t="s">
        <v>2079</v>
      </c>
      <c r="M171" s="27" t="s">
        <v>2080</v>
      </c>
      <c r="N171" s="26" t="s">
        <v>2031</v>
      </c>
      <c r="O171" s="28"/>
      <c r="P171" s="26" t="s">
        <v>2081</v>
      </c>
      <c r="Q171" s="26" t="s">
        <v>48</v>
      </c>
      <c r="R171" s="27" t="s">
        <v>49</v>
      </c>
      <c r="S171" s="27" t="s">
        <v>130</v>
      </c>
      <c r="T171" s="26"/>
      <c r="U171" s="26" t="s">
        <v>52</v>
      </c>
      <c r="V171" s="26" t="s">
        <v>2082</v>
      </c>
      <c r="W171" s="26" t="s">
        <v>48</v>
      </c>
      <c r="X171" s="26" t="s">
        <v>2083</v>
      </c>
      <c r="Y171" s="27" t="s">
        <v>79</v>
      </c>
      <c r="Z171" s="27" t="s">
        <v>57</v>
      </c>
      <c r="AA171" s="26" t="s">
        <v>2084</v>
      </c>
      <c r="AB171" s="26"/>
      <c r="AC171" s="27" t="s">
        <v>60</v>
      </c>
      <c r="AD171" s="27" t="s">
        <v>2085</v>
      </c>
      <c r="AE171" s="27" t="s">
        <v>62</v>
      </c>
      <c r="AF171" s="27" t="s">
        <v>63</v>
      </c>
      <c r="AG171" s="26" t="s">
        <v>2086</v>
      </c>
    </row>
    <row r="172" customFormat="false" ht="102.2" hidden="false" customHeight="false" outlineLevel="0" collapsed="false">
      <c r="A172" s="26" t="s">
        <v>2087</v>
      </c>
      <c r="B172" s="26" t="s">
        <v>2088</v>
      </c>
      <c r="C172" s="27" t="s">
        <v>2027</v>
      </c>
      <c r="D172" s="27" t="s">
        <v>36</v>
      </c>
      <c r="E172" s="26" t="s">
        <v>137</v>
      </c>
      <c r="F172" s="27" t="s">
        <v>121</v>
      </c>
      <c r="G172" s="26" t="s">
        <v>152</v>
      </c>
      <c r="H172" s="26" t="s">
        <v>2089</v>
      </c>
      <c r="I172" s="26" t="s">
        <v>2090</v>
      </c>
      <c r="J172" s="26" t="s">
        <v>2091</v>
      </c>
      <c r="K172" s="27" t="s">
        <v>126</v>
      </c>
      <c r="L172" s="26" t="s">
        <v>2092</v>
      </c>
      <c r="M172" s="27" t="s">
        <v>2093</v>
      </c>
      <c r="N172" s="26" t="s">
        <v>2031</v>
      </c>
      <c r="O172" s="28" t="n">
        <v>3</v>
      </c>
      <c r="P172" s="26" t="s">
        <v>2094</v>
      </c>
      <c r="Q172" s="26" t="s">
        <v>48</v>
      </c>
      <c r="R172" s="27" t="s">
        <v>49</v>
      </c>
      <c r="S172" s="27" t="s">
        <v>130</v>
      </c>
      <c r="T172" s="26"/>
      <c r="U172" s="26" t="s">
        <v>52</v>
      </c>
      <c r="V172" s="26" t="s">
        <v>2095</v>
      </c>
      <c r="W172" s="26" t="s">
        <v>48</v>
      </c>
      <c r="X172" s="26" t="s">
        <v>2096</v>
      </c>
      <c r="Y172" s="27" t="s">
        <v>79</v>
      </c>
      <c r="Z172" s="27" t="s">
        <v>2097</v>
      </c>
      <c r="AA172" s="26" t="s">
        <v>2098</v>
      </c>
      <c r="AB172" s="26"/>
      <c r="AC172" s="27" t="s">
        <v>60</v>
      </c>
      <c r="AD172" s="27" t="s">
        <v>2099</v>
      </c>
      <c r="AE172" s="27" t="s">
        <v>148</v>
      </c>
      <c r="AF172" s="27" t="s">
        <v>63</v>
      </c>
      <c r="AG172" s="26" t="s">
        <v>2100</v>
      </c>
    </row>
    <row r="173" customFormat="false" ht="102.2" hidden="false" customHeight="false" outlineLevel="0" collapsed="false">
      <c r="A173" s="26" t="s">
        <v>2101</v>
      </c>
      <c r="B173" s="26" t="s">
        <v>2088</v>
      </c>
      <c r="C173" s="27" t="s">
        <v>2027</v>
      </c>
      <c r="D173" s="27" t="s">
        <v>36</v>
      </c>
      <c r="E173" s="26" t="s">
        <v>137</v>
      </c>
      <c r="F173" s="27" t="s">
        <v>121</v>
      </c>
      <c r="G173" s="26" t="s">
        <v>152</v>
      </c>
      <c r="H173" s="26" t="s">
        <v>630</v>
      </c>
      <c r="I173" s="26" t="s">
        <v>2102</v>
      </c>
      <c r="J173" s="26" t="s">
        <v>2103</v>
      </c>
      <c r="K173" s="27" t="s">
        <v>126</v>
      </c>
      <c r="L173" s="26" t="s">
        <v>2092</v>
      </c>
      <c r="M173" s="27" t="s">
        <v>2093</v>
      </c>
      <c r="N173" s="26" t="s">
        <v>2031</v>
      </c>
      <c r="O173" s="28" t="n">
        <v>3</v>
      </c>
      <c r="P173" s="26" t="s">
        <v>2094</v>
      </c>
      <c r="Q173" s="26" t="s">
        <v>48</v>
      </c>
      <c r="R173" s="27" t="s">
        <v>49</v>
      </c>
      <c r="S173" s="27" t="s">
        <v>130</v>
      </c>
      <c r="T173" s="26"/>
      <c r="U173" s="26" t="s">
        <v>52</v>
      </c>
      <c r="V173" s="26" t="s">
        <v>2095</v>
      </c>
      <c r="W173" s="26" t="s">
        <v>48</v>
      </c>
      <c r="X173" s="26" t="s">
        <v>2104</v>
      </c>
      <c r="Y173" s="27" t="s">
        <v>79</v>
      </c>
      <c r="Z173" s="27" t="s">
        <v>2097</v>
      </c>
      <c r="AA173" s="26" t="s">
        <v>2105</v>
      </c>
      <c r="AB173" s="26"/>
      <c r="AC173" s="27" t="s">
        <v>60</v>
      </c>
      <c r="AD173" s="27" t="s">
        <v>2099</v>
      </c>
      <c r="AE173" s="27" t="s">
        <v>148</v>
      </c>
      <c r="AF173" s="27" t="s">
        <v>63</v>
      </c>
      <c r="AG173" s="26" t="s">
        <v>2106</v>
      </c>
    </row>
    <row r="174" customFormat="false" ht="91" hidden="false" customHeight="false" outlineLevel="0" collapsed="false">
      <c r="A174" s="26" t="s">
        <v>2107</v>
      </c>
      <c r="B174" s="26" t="s">
        <v>2088</v>
      </c>
      <c r="C174" s="27" t="s">
        <v>2027</v>
      </c>
      <c r="D174" s="27" t="s">
        <v>36</v>
      </c>
      <c r="E174" s="26" t="s">
        <v>103</v>
      </c>
      <c r="F174" s="27" t="s">
        <v>104</v>
      </c>
      <c r="G174" s="26" t="s">
        <v>214</v>
      </c>
      <c r="H174" s="26" t="s">
        <v>630</v>
      </c>
      <c r="I174" s="26" t="s">
        <v>2108</v>
      </c>
      <c r="J174" s="26" t="s">
        <v>2109</v>
      </c>
      <c r="K174" s="27" t="s">
        <v>108</v>
      </c>
      <c r="L174" s="26" t="s">
        <v>2110</v>
      </c>
      <c r="M174" s="27" t="s">
        <v>1259</v>
      </c>
      <c r="N174" s="26" t="s">
        <v>181</v>
      </c>
      <c r="O174" s="28" t="n">
        <v>10</v>
      </c>
      <c r="P174" s="26" t="s">
        <v>2111</v>
      </c>
      <c r="Q174" s="26" t="s">
        <v>48</v>
      </c>
      <c r="R174" s="27" t="s">
        <v>49</v>
      </c>
      <c r="S174" s="27" t="s">
        <v>130</v>
      </c>
      <c r="T174" s="26"/>
      <c r="U174" s="26" t="s">
        <v>52</v>
      </c>
      <c r="V174" s="26" t="s">
        <v>57</v>
      </c>
      <c r="W174" s="26" t="s">
        <v>48</v>
      </c>
      <c r="X174" s="26" t="s">
        <v>2112</v>
      </c>
      <c r="Y174" s="27" t="s">
        <v>79</v>
      </c>
      <c r="Z174" s="27" t="s">
        <v>2113</v>
      </c>
      <c r="AA174" s="26" t="s">
        <v>2114</v>
      </c>
      <c r="AB174" s="26"/>
      <c r="AC174" s="27" t="s">
        <v>60</v>
      </c>
      <c r="AD174" s="27" t="s">
        <v>2115</v>
      </c>
      <c r="AE174" s="27" t="s">
        <v>148</v>
      </c>
      <c r="AF174" s="27" t="s">
        <v>63</v>
      </c>
      <c r="AG174" s="26" t="s">
        <v>2116</v>
      </c>
    </row>
    <row r="175" customFormat="false" ht="124.6" hidden="false" customHeight="false" outlineLevel="0" collapsed="false">
      <c r="A175" s="26" t="s">
        <v>2117</v>
      </c>
      <c r="B175" s="26" t="s">
        <v>2088</v>
      </c>
      <c r="C175" s="27" t="s">
        <v>2027</v>
      </c>
      <c r="D175" s="27" t="s">
        <v>36</v>
      </c>
      <c r="E175" s="26" t="s">
        <v>37</v>
      </c>
      <c r="F175" s="27" t="s">
        <v>104</v>
      </c>
      <c r="G175" s="26" t="s">
        <v>214</v>
      </c>
      <c r="H175" s="26" t="s">
        <v>630</v>
      </c>
      <c r="I175" s="26" t="s">
        <v>2118</v>
      </c>
      <c r="J175" s="26" t="s">
        <v>2119</v>
      </c>
      <c r="K175" s="27" t="s">
        <v>108</v>
      </c>
      <c r="L175" s="26" t="s">
        <v>2110</v>
      </c>
      <c r="M175" s="27" t="s">
        <v>1259</v>
      </c>
      <c r="N175" s="26" t="s">
        <v>181</v>
      </c>
      <c r="O175" s="28"/>
      <c r="P175" s="26" t="s">
        <v>2120</v>
      </c>
      <c r="Q175" s="26" t="s">
        <v>48</v>
      </c>
      <c r="R175" s="27" t="s">
        <v>49</v>
      </c>
      <c r="S175" s="27" t="s">
        <v>130</v>
      </c>
      <c r="T175" s="26"/>
      <c r="U175" s="26" t="s">
        <v>52</v>
      </c>
      <c r="V175" s="26" t="s">
        <v>57</v>
      </c>
      <c r="W175" s="26" t="s">
        <v>48</v>
      </c>
      <c r="X175" s="26" t="s">
        <v>2121</v>
      </c>
      <c r="Y175" s="27" t="s">
        <v>79</v>
      </c>
      <c r="Z175" s="27" t="s">
        <v>2113</v>
      </c>
      <c r="AA175" s="26" t="s">
        <v>2114</v>
      </c>
      <c r="AB175" s="26"/>
      <c r="AC175" s="27" t="s">
        <v>60</v>
      </c>
      <c r="AD175" s="27" t="s">
        <v>2115</v>
      </c>
      <c r="AE175" s="27" t="s">
        <v>148</v>
      </c>
      <c r="AF175" s="27" t="s">
        <v>63</v>
      </c>
      <c r="AG175" s="26" t="s">
        <v>2122</v>
      </c>
    </row>
    <row r="176" customFormat="false" ht="135.8" hidden="false" customHeight="false" outlineLevel="0" collapsed="false">
      <c r="A176" s="26" t="s">
        <v>2123</v>
      </c>
      <c r="B176" s="26" t="s">
        <v>2124</v>
      </c>
      <c r="C176" s="27" t="s">
        <v>2027</v>
      </c>
      <c r="D176" s="27" t="s">
        <v>36</v>
      </c>
      <c r="E176" s="26" t="s">
        <v>37</v>
      </c>
      <c r="F176" s="27" t="s">
        <v>104</v>
      </c>
      <c r="G176" s="26" t="s">
        <v>416</v>
      </c>
      <c r="H176" s="26" t="s">
        <v>513</v>
      </c>
      <c r="I176" s="26" t="s">
        <v>2125</v>
      </c>
      <c r="J176" s="26" t="s">
        <v>2126</v>
      </c>
      <c r="K176" s="27" t="s">
        <v>43</v>
      </c>
      <c r="L176" s="26" t="s">
        <v>2127</v>
      </c>
      <c r="M176" s="27" t="s">
        <v>2128</v>
      </c>
      <c r="N176" s="26" t="s">
        <v>181</v>
      </c>
      <c r="O176" s="28"/>
      <c r="P176" s="26" t="s">
        <v>2129</v>
      </c>
      <c r="Q176" s="26" t="s">
        <v>48</v>
      </c>
      <c r="R176" s="27" t="s">
        <v>49</v>
      </c>
      <c r="S176" s="27" t="s">
        <v>50</v>
      </c>
      <c r="T176" s="26" t="s">
        <v>2130</v>
      </c>
      <c r="U176" s="26" t="s">
        <v>52</v>
      </c>
      <c r="V176" s="26" t="s">
        <v>57</v>
      </c>
      <c r="W176" s="26" t="s">
        <v>48</v>
      </c>
      <c r="X176" s="26" t="s">
        <v>2131</v>
      </c>
      <c r="Y176" s="27" t="s">
        <v>56</v>
      </c>
      <c r="Z176" s="27" t="s">
        <v>57</v>
      </c>
      <c r="AA176" s="26" t="s">
        <v>2132</v>
      </c>
      <c r="AB176" s="26"/>
      <c r="AC176" s="27" t="s">
        <v>60</v>
      </c>
      <c r="AD176" s="27" t="s">
        <v>2133</v>
      </c>
      <c r="AE176" s="27" t="s">
        <v>62</v>
      </c>
      <c r="AF176" s="27" t="s">
        <v>63</v>
      </c>
      <c r="AG176" s="26" t="s">
        <v>2134</v>
      </c>
    </row>
    <row r="177" customFormat="false" ht="169.4" hidden="false" customHeight="false" outlineLevel="0" collapsed="false">
      <c r="A177" s="26" t="s">
        <v>2135</v>
      </c>
      <c r="B177" s="26" t="s">
        <v>2136</v>
      </c>
      <c r="C177" s="27" t="s">
        <v>2027</v>
      </c>
      <c r="D177" s="27" t="s">
        <v>36</v>
      </c>
      <c r="E177" s="26" t="s">
        <v>1409</v>
      </c>
      <c r="F177" s="27" t="s">
        <v>121</v>
      </c>
      <c r="G177" s="26" t="s">
        <v>1516</v>
      </c>
      <c r="H177" s="26" t="s">
        <v>1473</v>
      </c>
      <c r="I177" s="26" t="s">
        <v>2137</v>
      </c>
      <c r="J177" s="26" t="s">
        <v>2138</v>
      </c>
      <c r="K177" s="27" t="s">
        <v>126</v>
      </c>
      <c r="L177" s="26" t="s">
        <v>2139</v>
      </c>
      <c r="M177" s="27" t="s">
        <v>2140</v>
      </c>
      <c r="N177" s="26" t="s">
        <v>142</v>
      </c>
      <c r="O177" s="28"/>
      <c r="P177" s="26" t="s">
        <v>2141</v>
      </c>
      <c r="Q177" s="26" t="s">
        <v>48</v>
      </c>
      <c r="R177" s="27" t="s">
        <v>49</v>
      </c>
      <c r="S177" s="27" t="s">
        <v>130</v>
      </c>
      <c r="T177" s="26"/>
      <c r="U177" s="26" t="s">
        <v>263</v>
      </c>
      <c r="V177" s="26" t="s">
        <v>2142</v>
      </c>
      <c r="W177" s="26" t="s">
        <v>181</v>
      </c>
      <c r="X177" s="26" t="s">
        <v>2143</v>
      </c>
      <c r="Y177" s="27" t="s">
        <v>79</v>
      </c>
      <c r="Z177" s="27" t="s">
        <v>2144</v>
      </c>
      <c r="AA177" s="26" t="s">
        <v>2145</v>
      </c>
      <c r="AB177" s="26"/>
      <c r="AC177" s="27" t="s">
        <v>60</v>
      </c>
      <c r="AD177" s="27" t="s">
        <v>2146</v>
      </c>
      <c r="AE177" s="27" t="s">
        <v>148</v>
      </c>
      <c r="AF177" s="27" t="s">
        <v>63</v>
      </c>
      <c r="AG177" s="26" t="s">
        <v>2147</v>
      </c>
    </row>
    <row r="178" customFormat="false" ht="102.2" hidden="false" customHeight="false" outlineLevel="0" collapsed="false">
      <c r="A178" s="26" t="s">
        <v>2148</v>
      </c>
      <c r="B178" s="26" t="s">
        <v>2149</v>
      </c>
      <c r="C178" s="27" t="s">
        <v>2027</v>
      </c>
      <c r="D178" s="27" t="s">
        <v>36</v>
      </c>
      <c r="E178" s="26" t="s">
        <v>120</v>
      </c>
      <c r="F178" s="27" t="s">
        <v>121</v>
      </c>
      <c r="G178" s="26" t="s">
        <v>595</v>
      </c>
      <c r="H178" s="26" t="s">
        <v>2150</v>
      </c>
      <c r="I178" s="26" t="s">
        <v>2151</v>
      </c>
      <c r="J178" s="26" t="s">
        <v>2152</v>
      </c>
      <c r="K178" s="27" t="s">
        <v>126</v>
      </c>
      <c r="L178" s="26" t="s">
        <v>2153</v>
      </c>
      <c r="M178" s="27" t="s">
        <v>2154</v>
      </c>
      <c r="N178" s="26" t="s">
        <v>74</v>
      </c>
      <c r="O178" s="28"/>
      <c r="P178" s="26" t="s">
        <v>2155</v>
      </c>
      <c r="Q178" s="26" t="s">
        <v>48</v>
      </c>
      <c r="R178" s="27" t="s">
        <v>49</v>
      </c>
      <c r="S178" s="27" t="s">
        <v>50</v>
      </c>
      <c r="T178" s="26" t="s">
        <v>2156</v>
      </c>
      <c r="U178" s="26" t="s">
        <v>263</v>
      </c>
      <c r="V178" s="26" t="s">
        <v>2157</v>
      </c>
      <c r="W178" s="26" t="s">
        <v>54</v>
      </c>
      <c r="X178" s="26" t="s">
        <v>2158</v>
      </c>
      <c r="Y178" s="27" t="s">
        <v>79</v>
      </c>
      <c r="Z178" s="27" t="s">
        <v>57</v>
      </c>
      <c r="AA178" s="26" t="s">
        <v>2159</v>
      </c>
      <c r="AB178" s="26"/>
      <c r="AC178" s="27" t="s">
        <v>60</v>
      </c>
      <c r="AD178" s="27" t="s">
        <v>2160</v>
      </c>
      <c r="AE178" s="27" t="s">
        <v>148</v>
      </c>
      <c r="AF178" s="27" t="s">
        <v>63</v>
      </c>
      <c r="AG178" s="26" t="s">
        <v>2161</v>
      </c>
    </row>
    <row r="179" customFormat="false" ht="68.65" hidden="false" customHeight="false" outlineLevel="0" collapsed="false">
      <c r="A179" s="29" t="s">
        <v>2162</v>
      </c>
      <c r="B179" s="29" t="s">
        <v>2163</v>
      </c>
      <c r="C179" s="30" t="s">
        <v>2164</v>
      </c>
      <c r="D179" s="30" t="s">
        <v>36</v>
      </c>
      <c r="E179" s="29" t="s">
        <v>37</v>
      </c>
      <c r="F179" s="30" t="s">
        <v>104</v>
      </c>
      <c r="G179" s="29" t="s">
        <v>214</v>
      </c>
      <c r="H179" s="29" t="s">
        <v>228</v>
      </c>
      <c r="I179" s="29" t="s">
        <v>2165</v>
      </c>
      <c r="J179" s="29" t="s">
        <v>2166</v>
      </c>
      <c r="K179" s="30" t="s">
        <v>43</v>
      </c>
      <c r="L179" s="29" t="s">
        <v>2167</v>
      </c>
      <c r="M179" s="30" t="s">
        <v>2168</v>
      </c>
      <c r="N179" s="29" t="s">
        <v>46</v>
      </c>
      <c r="O179" s="31"/>
      <c r="P179" s="29"/>
      <c r="Q179" s="29" t="s">
        <v>48</v>
      </c>
      <c r="R179" s="30" t="s">
        <v>49</v>
      </c>
      <c r="S179" s="30" t="s">
        <v>50</v>
      </c>
      <c r="T179" s="29" t="s">
        <v>2169</v>
      </c>
      <c r="U179" s="29" t="s">
        <v>52</v>
      </c>
      <c r="V179" s="29" t="s">
        <v>506</v>
      </c>
      <c r="W179" s="29" t="s">
        <v>181</v>
      </c>
      <c r="X179" s="29" t="s">
        <v>2170</v>
      </c>
      <c r="Y179" s="30" t="s">
        <v>56</v>
      </c>
      <c r="Z179" s="30" t="s">
        <v>57</v>
      </c>
      <c r="AA179" s="29" t="s">
        <v>2171</v>
      </c>
      <c r="AB179" s="29"/>
      <c r="AC179" s="30" t="s">
        <v>60</v>
      </c>
      <c r="AD179" s="30" t="s">
        <v>2172</v>
      </c>
      <c r="AE179" s="30" t="s">
        <v>62</v>
      </c>
      <c r="AF179" s="30" t="s">
        <v>63</v>
      </c>
      <c r="AG179" s="29" t="s">
        <v>2173</v>
      </c>
    </row>
    <row r="180" customFormat="false" ht="91" hidden="false" customHeight="false" outlineLevel="0" collapsed="false">
      <c r="A180" s="29" t="s">
        <v>2174</v>
      </c>
      <c r="B180" s="29" t="s">
        <v>2163</v>
      </c>
      <c r="C180" s="30" t="s">
        <v>2164</v>
      </c>
      <c r="D180" s="30" t="s">
        <v>36</v>
      </c>
      <c r="E180" s="29" t="s">
        <v>173</v>
      </c>
      <c r="F180" s="30" t="s">
        <v>174</v>
      </c>
      <c r="G180" s="29" t="s">
        <v>297</v>
      </c>
      <c r="H180" s="29" t="s">
        <v>228</v>
      </c>
      <c r="I180" s="29" t="s">
        <v>2175</v>
      </c>
      <c r="J180" s="29" t="s">
        <v>2176</v>
      </c>
      <c r="K180" s="30" t="s">
        <v>126</v>
      </c>
      <c r="L180" s="29" t="s">
        <v>2177</v>
      </c>
      <c r="M180" s="30" t="s">
        <v>2178</v>
      </c>
      <c r="N180" s="29" t="s">
        <v>46</v>
      </c>
      <c r="O180" s="31"/>
      <c r="P180" s="29" t="s">
        <v>2179</v>
      </c>
      <c r="Q180" s="29" t="s">
        <v>48</v>
      </c>
      <c r="R180" s="30" t="s">
        <v>49</v>
      </c>
      <c r="S180" s="30" t="s">
        <v>50</v>
      </c>
      <c r="T180" s="29" t="s">
        <v>2169</v>
      </c>
      <c r="U180" s="29" t="s">
        <v>181</v>
      </c>
      <c r="V180" s="29" t="s">
        <v>2180</v>
      </c>
      <c r="W180" s="29" t="s">
        <v>181</v>
      </c>
      <c r="X180" s="29" t="s">
        <v>2181</v>
      </c>
      <c r="Y180" s="30" t="s">
        <v>56</v>
      </c>
      <c r="Z180" s="30" t="s">
        <v>57</v>
      </c>
      <c r="AA180" s="29" t="s">
        <v>2182</v>
      </c>
      <c r="AB180" s="29"/>
      <c r="AC180" s="30" t="s">
        <v>60</v>
      </c>
      <c r="AD180" s="30" t="s">
        <v>2183</v>
      </c>
      <c r="AE180" s="30" t="s">
        <v>148</v>
      </c>
      <c r="AF180" s="30" t="s">
        <v>63</v>
      </c>
      <c r="AG180" s="29" t="s">
        <v>2184</v>
      </c>
    </row>
    <row r="181" customFormat="false" ht="91" hidden="false" customHeight="false" outlineLevel="0" collapsed="false">
      <c r="A181" s="29" t="s">
        <v>2185</v>
      </c>
      <c r="B181" s="29" t="s">
        <v>2186</v>
      </c>
      <c r="C181" s="30" t="s">
        <v>2164</v>
      </c>
      <c r="D181" s="30" t="s">
        <v>36</v>
      </c>
      <c r="E181" s="29" t="s">
        <v>37</v>
      </c>
      <c r="F181" s="30" t="s">
        <v>104</v>
      </c>
      <c r="G181" s="29" t="s">
        <v>214</v>
      </c>
      <c r="H181" s="29" t="s">
        <v>86</v>
      </c>
      <c r="I181" s="29" t="s">
        <v>2187</v>
      </c>
      <c r="J181" s="29" t="s">
        <v>2188</v>
      </c>
      <c r="K181" s="30" t="s">
        <v>216</v>
      </c>
      <c r="L181" s="29" t="s">
        <v>2189</v>
      </c>
      <c r="M181" s="30" t="s">
        <v>252</v>
      </c>
      <c r="N181" s="29" t="s">
        <v>1656</v>
      </c>
      <c r="O181" s="31"/>
      <c r="P181" s="29" t="s">
        <v>2190</v>
      </c>
      <c r="Q181" s="29" t="s">
        <v>48</v>
      </c>
      <c r="R181" s="30" t="s">
        <v>49</v>
      </c>
      <c r="S181" s="30" t="s">
        <v>50</v>
      </c>
      <c r="T181" s="29" t="s">
        <v>1633</v>
      </c>
      <c r="U181" s="29" t="s">
        <v>52</v>
      </c>
      <c r="V181" s="29" t="s">
        <v>506</v>
      </c>
      <c r="W181" s="29" t="s">
        <v>181</v>
      </c>
      <c r="X181" s="29" t="s">
        <v>2191</v>
      </c>
      <c r="Y181" s="30" t="s">
        <v>79</v>
      </c>
      <c r="Z181" s="30" t="s">
        <v>2192</v>
      </c>
      <c r="AA181" s="29" t="s">
        <v>2193</v>
      </c>
      <c r="AB181" s="29"/>
      <c r="AC181" s="30" t="s">
        <v>60</v>
      </c>
      <c r="AD181" s="30" t="s">
        <v>2194</v>
      </c>
      <c r="AE181" s="30" t="s">
        <v>148</v>
      </c>
      <c r="AF181" s="30" t="s">
        <v>63</v>
      </c>
      <c r="AG181" s="29" t="s">
        <v>2195</v>
      </c>
    </row>
    <row r="182" customFormat="false" ht="79.85" hidden="false" customHeight="false" outlineLevel="0" collapsed="false">
      <c r="A182" s="29" t="s">
        <v>2196</v>
      </c>
      <c r="B182" s="29" t="s">
        <v>2186</v>
      </c>
      <c r="C182" s="30" t="s">
        <v>2164</v>
      </c>
      <c r="D182" s="30" t="s">
        <v>36</v>
      </c>
      <c r="E182" s="29" t="s">
        <v>227</v>
      </c>
      <c r="F182" s="30" t="s">
        <v>201</v>
      </c>
      <c r="G182" s="29" t="s">
        <v>1516</v>
      </c>
      <c r="H182" s="29" t="s">
        <v>86</v>
      </c>
      <c r="I182" s="29" t="s">
        <v>2197</v>
      </c>
      <c r="J182" s="29" t="s">
        <v>2198</v>
      </c>
      <c r="K182" s="30" t="s">
        <v>126</v>
      </c>
      <c r="L182" s="29" t="s">
        <v>2199</v>
      </c>
      <c r="M182" s="30" t="s">
        <v>231</v>
      </c>
      <c r="N182" s="29" t="s">
        <v>2031</v>
      </c>
      <c r="O182" s="31"/>
      <c r="P182" s="29" t="s">
        <v>2200</v>
      </c>
      <c r="Q182" s="29" t="s">
        <v>48</v>
      </c>
      <c r="R182" s="30" t="s">
        <v>49</v>
      </c>
      <c r="S182" s="30" t="s">
        <v>50</v>
      </c>
      <c r="T182" s="29" t="s">
        <v>1633</v>
      </c>
      <c r="U182" s="29" t="s">
        <v>263</v>
      </c>
      <c r="V182" s="29" t="s">
        <v>2201</v>
      </c>
      <c r="W182" s="29" t="s">
        <v>181</v>
      </c>
      <c r="X182" s="29" t="s">
        <v>2202</v>
      </c>
      <c r="Y182" s="30" t="s">
        <v>95</v>
      </c>
      <c r="Z182" s="30" t="s">
        <v>57</v>
      </c>
      <c r="AA182" s="29" t="s">
        <v>2203</v>
      </c>
      <c r="AB182" s="29"/>
      <c r="AC182" s="30" t="s">
        <v>60</v>
      </c>
      <c r="AD182" s="30" t="s">
        <v>2204</v>
      </c>
      <c r="AE182" s="30" t="s">
        <v>148</v>
      </c>
      <c r="AF182" s="30" t="s">
        <v>63</v>
      </c>
      <c r="AG182" s="29" t="s">
        <v>2205</v>
      </c>
    </row>
    <row r="183" customFormat="false" ht="91" hidden="false" customHeight="false" outlineLevel="0" collapsed="false">
      <c r="A183" s="29" t="s">
        <v>2206</v>
      </c>
      <c r="B183" s="29" t="s">
        <v>2207</v>
      </c>
      <c r="C183" s="30" t="s">
        <v>2164</v>
      </c>
      <c r="D183" s="30" t="s">
        <v>36</v>
      </c>
      <c r="E183" s="29" t="s">
        <v>37</v>
      </c>
      <c r="F183" s="30" t="s">
        <v>104</v>
      </c>
      <c r="G183" s="29" t="s">
        <v>214</v>
      </c>
      <c r="H183" s="29" t="s">
        <v>86</v>
      </c>
      <c r="I183" s="29" t="s">
        <v>2208</v>
      </c>
      <c r="J183" s="29" t="s">
        <v>2209</v>
      </c>
      <c r="K183" s="30" t="s">
        <v>216</v>
      </c>
      <c r="L183" s="29" t="s">
        <v>2210</v>
      </c>
      <c r="M183" s="30" t="s">
        <v>2211</v>
      </c>
      <c r="N183" s="29" t="s">
        <v>46</v>
      </c>
      <c r="O183" s="31"/>
      <c r="P183" s="29"/>
      <c r="Q183" s="29" t="s">
        <v>48</v>
      </c>
      <c r="R183" s="30" t="s">
        <v>49</v>
      </c>
      <c r="S183" s="30" t="s">
        <v>50</v>
      </c>
      <c r="T183" s="29" t="s">
        <v>2212</v>
      </c>
      <c r="U183" s="29" t="s">
        <v>52</v>
      </c>
      <c r="V183" s="29" t="s">
        <v>57</v>
      </c>
      <c r="W183" s="29" t="s">
        <v>181</v>
      </c>
      <c r="X183" s="29" t="s">
        <v>2213</v>
      </c>
      <c r="Y183" s="30" t="s">
        <v>79</v>
      </c>
      <c r="Z183" s="30" t="s">
        <v>57</v>
      </c>
      <c r="AA183" s="29" t="s">
        <v>2214</v>
      </c>
      <c r="AB183" s="29"/>
      <c r="AC183" s="30" t="s">
        <v>60</v>
      </c>
      <c r="AD183" s="30" t="s">
        <v>2215</v>
      </c>
      <c r="AE183" s="30" t="s">
        <v>148</v>
      </c>
      <c r="AF183" s="30" t="s">
        <v>63</v>
      </c>
      <c r="AG183" s="29" t="s">
        <v>2216</v>
      </c>
    </row>
    <row r="184" customFormat="false" ht="91" hidden="false" customHeight="false" outlineLevel="0" collapsed="false">
      <c r="A184" s="29" t="s">
        <v>2217</v>
      </c>
      <c r="B184" s="29" t="s">
        <v>2207</v>
      </c>
      <c r="C184" s="30" t="s">
        <v>2164</v>
      </c>
      <c r="D184" s="30" t="s">
        <v>36</v>
      </c>
      <c r="E184" s="29" t="s">
        <v>37</v>
      </c>
      <c r="F184" s="30" t="s">
        <v>104</v>
      </c>
      <c r="G184" s="29" t="s">
        <v>214</v>
      </c>
      <c r="H184" s="29" t="s">
        <v>86</v>
      </c>
      <c r="I184" s="29" t="s">
        <v>2218</v>
      </c>
      <c r="J184" s="29" t="s">
        <v>2219</v>
      </c>
      <c r="K184" s="30" t="s">
        <v>216</v>
      </c>
      <c r="L184" s="29" t="s">
        <v>2220</v>
      </c>
      <c r="M184" s="30" t="s">
        <v>2221</v>
      </c>
      <c r="N184" s="29" t="s">
        <v>46</v>
      </c>
      <c r="O184" s="31"/>
      <c r="P184" s="29"/>
      <c r="Q184" s="29" t="s">
        <v>48</v>
      </c>
      <c r="R184" s="30" t="s">
        <v>49</v>
      </c>
      <c r="S184" s="30" t="s">
        <v>50</v>
      </c>
      <c r="T184" s="29" t="s">
        <v>1633</v>
      </c>
      <c r="U184" s="29" t="s">
        <v>52</v>
      </c>
      <c r="V184" s="29" t="s">
        <v>57</v>
      </c>
      <c r="W184" s="29" t="s">
        <v>181</v>
      </c>
      <c r="X184" s="29" t="s">
        <v>2222</v>
      </c>
      <c r="Y184" s="30" t="s">
        <v>79</v>
      </c>
      <c r="Z184" s="30" t="s">
        <v>57</v>
      </c>
      <c r="AA184" s="29" t="s">
        <v>2223</v>
      </c>
      <c r="AB184" s="29"/>
      <c r="AC184" s="30" t="s">
        <v>60</v>
      </c>
      <c r="AD184" s="30" t="s">
        <v>2224</v>
      </c>
      <c r="AE184" s="30" t="s">
        <v>62</v>
      </c>
      <c r="AF184" s="30" t="s">
        <v>63</v>
      </c>
      <c r="AG184" s="29" t="s">
        <v>2225</v>
      </c>
    </row>
    <row r="185" customFormat="false" ht="113.4" hidden="false" customHeight="false" outlineLevel="0" collapsed="false">
      <c r="A185" s="29" t="s">
        <v>2226</v>
      </c>
      <c r="B185" s="29" t="s">
        <v>2227</v>
      </c>
      <c r="C185" s="30" t="s">
        <v>2164</v>
      </c>
      <c r="D185" s="30" t="s">
        <v>36</v>
      </c>
      <c r="E185" s="29" t="s">
        <v>137</v>
      </c>
      <c r="F185" s="30" t="s">
        <v>121</v>
      </c>
      <c r="G185" s="29" t="s">
        <v>175</v>
      </c>
      <c r="H185" s="29" t="s">
        <v>228</v>
      </c>
      <c r="I185" s="29" t="s">
        <v>2228</v>
      </c>
      <c r="J185" s="29" t="s">
        <v>2229</v>
      </c>
      <c r="K185" s="30" t="s">
        <v>126</v>
      </c>
      <c r="L185" s="29" t="s">
        <v>2230</v>
      </c>
      <c r="M185" s="30" t="s">
        <v>289</v>
      </c>
      <c r="N185" s="29" t="s">
        <v>46</v>
      </c>
      <c r="O185" s="31" t="n">
        <v>3</v>
      </c>
      <c r="P185" s="29" t="s">
        <v>2231</v>
      </c>
      <c r="Q185" s="29" t="s">
        <v>48</v>
      </c>
      <c r="R185" s="30" t="s">
        <v>49</v>
      </c>
      <c r="S185" s="30" t="s">
        <v>50</v>
      </c>
      <c r="T185" s="29" t="s">
        <v>2232</v>
      </c>
      <c r="U185" s="29" t="s">
        <v>52</v>
      </c>
      <c r="V185" s="29" t="s">
        <v>2233</v>
      </c>
      <c r="W185" s="29" t="s">
        <v>181</v>
      </c>
      <c r="X185" s="29" t="s">
        <v>2234</v>
      </c>
      <c r="Y185" s="30" t="s">
        <v>79</v>
      </c>
      <c r="Z185" s="30" t="s">
        <v>57</v>
      </c>
      <c r="AA185" s="29" t="s">
        <v>2235</v>
      </c>
      <c r="AB185" s="29"/>
      <c r="AC185" s="30" t="s">
        <v>60</v>
      </c>
      <c r="AD185" s="30" t="s">
        <v>2236</v>
      </c>
      <c r="AE185" s="30" t="s">
        <v>148</v>
      </c>
      <c r="AF185" s="30" t="s">
        <v>63</v>
      </c>
      <c r="AG185" s="29" t="s">
        <v>2237</v>
      </c>
    </row>
    <row r="186" customFormat="false" ht="113.4" hidden="false" customHeight="false" outlineLevel="0" collapsed="false">
      <c r="A186" s="29" t="s">
        <v>2238</v>
      </c>
      <c r="B186" s="29" t="s">
        <v>2239</v>
      </c>
      <c r="C186" s="30" t="s">
        <v>2164</v>
      </c>
      <c r="D186" s="30" t="s">
        <v>36</v>
      </c>
      <c r="E186" s="29" t="s">
        <v>37</v>
      </c>
      <c r="F186" s="30" t="s">
        <v>104</v>
      </c>
      <c r="G186" s="29" t="s">
        <v>214</v>
      </c>
      <c r="H186" s="29" t="s">
        <v>1300</v>
      </c>
      <c r="I186" s="29" t="s">
        <v>2240</v>
      </c>
      <c r="J186" s="29" t="s">
        <v>2241</v>
      </c>
      <c r="K186" s="30" t="s">
        <v>43</v>
      </c>
      <c r="L186" s="29" t="s">
        <v>57</v>
      </c>
      <c r="M186" s="30" t="s">
        <v>57</v>
      </c>
      <c r="N186" s="29" t="s">
        <v>46</v>
      </c>
      <c r="O186" s="31"/>
      <c r="P186" s="29"/>
      <c r="Q186" s="29" t="s">
        <v>48</v>
      </c>
      <c r="R186" s="30" t="s">
        <v>49</v>
      </c>
      <c r="S186" s="30" t="s">
        <v>130</v>
      </c>
      <c r="T186" s="29" t="s">
        <v>2242</v>
      </c>
      <c r="U186" s="29" t="s">
        <v>52</v>
      </c>
      <c r="V186" s="29" t="s">
        <v>57</v>
      </c>
      <c r="W186" s="29" t="s">
        <v>181</v>
      </c>
      <c r="X186" s="29" t="s">
        <v>2243</v>
      </c>
      <c r="Y186" s="30" t="s">
        <v>79</v>
      </c>
      <c r="Z186" s="30" t="s">
        <v>57</v>
      </c>
      <c r="AA186" s="29" t="s">
        <v>2244</v>
      </c>
      <c r="AB186" s="29"/>
      <c r="AC186" s="30" t="s">
        <v>60</v>
      </c>
      <c r="AD186" s="30" t="s">
        <v>2245</v>
      </c>
      <c r="AE186" s="30" t="s">
        <v>62</v>
      </c>
      <c r="AF186" s="30" t="s">
        <v>63</v>
      </c>
      <c r="AG186" s="29" t="s">
        <v>2246</v>
      </c>
    </row>
    <row r="187" customFormat="false" ht="113.4" hidden="false" customHeight="false" outlineLevel="0" collapsed="false">
      <c r="A187" s="29" t="s">
        <v>2247</v>
      </c>
      <c r="B187" s="29" t="s">
        <v>2248</v>
      </c>
      <c r="C187" s="30" t="s">
        <v>2164</v>
      </c>
      <c r="D187" s="30" t="s">
        <v>36</v>
      </c>
      <c r="E187" s="29" t="s">
        <v>137</v>
      </c>
      <c r="F187" s="30" t="s">
        <v>121</v>
      </c>
      <c r="G187" s="29" t="s">
        <v>175</v>
      </c>
      <c r="H187" s="29" t="s">
        <v>86</v>
      </c>
      <c r="I187" s="29" t="s">
        <v>2249</v>
      </c>
      <c r="J187" s="29" t="s">
        <v>2250</v>
      </c>
      <c r="K187" s="30" t="s">
        <v>126</v>
      </c>
      <c r="L187" s="29" t="s">
        <v>2251</v>
      </c>
      <c r="M187" s="30" t="s">
        <v>1157</v>
      </c>
      <c r="N187" s="29" t="s">
        <v>74</v>
      </c>
      <c r="O187" s="31" t="n">
        <v>5</v>
      </c>
      <c r="P187" s="29" t="s">
        <v>2252</v>
      </c>
      <c r="Q187" s="29" t="s">
        <v>48</v>
      </c>
      <c r="R187" s="30" t="s">
        <v>49</v>
      </c>
      <c r="S187" s="30" t="s">
        <v>50</v>
      </c>
      <c r="T187" s="29" t="s">
        <v>1633</v>
      </c>
      <c r="U187" s="29" t="s">
        <v>52</v>
      </c>
      <c r="V187" s="29" t="s">
        <v>2253</v>
      </c>
      <c r="W187" s="29" t="s">
        <v>181</v>
      </c>
      <c r="X187" s="29" t="s">
        <v>2254</v>
      </c>
      <c r="Y187" s="30" t="s">
        <v>79</v>
      </c>
      <c r="Z187" s="30" t="s">
        <v>57</v>
      </c>
      <c r="AA187" s="29" t="s">
        <v>2255</v>
      </c>
      <c r="AB187" s="29"/>
      <c r="AC187" s="30" t="s">
        <v>60</v>
      </c>
      <c r="AD187" s="30" t="s">
        <v>2256</v>
      </c>
      <c r="AE187" s="30" t="s">
        <v>148</v>
      </c>
      <c r="AF187" s="30" t="s">
        <v>63</v>
      </c>
      <c r="AG187" s="29" t="s">
        <v>2257</v>
      </c>
    </row>
    <row r="188" customFormat="false" ht="113.4" hidden="false" customHeight="false" outlineLevel="0" collapsed="false">
      <c r="A188" s="29" t="s">
        <v>2258</v>
      </c>
      <c r="B188" s="29" t="s">
        <v>2259</v>
      </c>
      <c r="C188" s="30" t="s">
        <v>2164</v>
      </c>
      <c r="D188" s="30" t="s">
        <v>36</v>
      </c>
      <c r="E188" s="29" t="s">
        <v>37</v>
      </c>
      <c r="F188" s="30" t="s">
        <v>104</v>
      </c>
      <c r="G188" s="29" t="s">
        <v>214</v>
      </c>
      <c r="H188" s="29" t="s">
        <v>86</v>
      </c>
      <c r="I188" s="29" t="s">
        <v>2260</v>
      </c>
      <c r="J188" s="29" t="s">
        <v>2261</v>
      </c>
      <c r="K188" s="30" t="s">
        <v>216</v>
      </c>
      <c r="L188" s="29" t="s">
        <v>2262</v>
      </c>
      <c r="M188" s="30" t="s">
        <v>2263</v>
      </c>
      <c r="N188" s="29" t="s">
        <v>46</v>
      </c>
      <c r="O188" s="31"/>
      <c r="P188" s="29" t="s">
        <v>2264</v>
      </c>
      <c r="Q188" s="29" t="s">
        <v>48</v>
      </c>
      <c r="R188" s="30" t="s">
        <v>49</v>
      </c>
      <c r="S188" s="30" t="s">
        <v>50</v>
      </c>
      <c r="T188" s="29" t="s">
        <v>2265</v>
      </c>
      <c r="U188" s="29" t="s">
        <v>52</v>
      </c>
      <c r="V188" s="29" t="s">
        <v>506</v>
      </c>
      <c r="W188" s="29" t="s">
        <v>181</v>
      </c>
      <c r="X188" s="29" t="s">
        <v>2266</v>
      </c>
      <c r="Y188" s="30" t="s">
        <v>79</v>
      </c>
      <c r="Z188" s="30" t="s">
        <v>57</v>
      </c>
      <c r="AA188" s="29" t="s">
        <v>2267</v>
      </c>
      <c r="AB188" s="29"/>
      <c r="AC188" s="30" t="s">
        <v>60</v>
      </c>
      <c r="AD188" s="30" t="s">
        <v>2268</v>
      </c>
      <c r="AE188" s="30" t="s">
        <v>148</v>
      </c>
      <c r="AF188" s="30" t="s">
        <v>63</v>
      </c>
      <c r="AG188" s="29" t="s">
        <v>2269</v>
      </c>
    </row>
    <row r="189" customFormat="false" ht="102.2" hidden="false" customHeight="false" outlineLevel="0" collapsed="false">
      <c r="A189" s="29" t="s">
        <v>2270</v>
      </c>
      <c r="B189" s="29" t="s">
        <v>2271</v>
      </c>
      <c r="C189" s="30" t="s">
        <v>2164</v>
      </c>
      <c r="D189" s="30" t="s">
        <v>36</v>
      </c>
      <c r="E189" s="29" t="s">
        <v>37</v>
      </c>
      <c r="F189" s="30" t="s">
        <v>104</v>
      </c>
      <c r="G189" s="29" t="s">
        <v>39</v>
      </c>
      <c r="H189" s="29" t="s">
        <v>1300</v>
      </c>
      <c r="I189" s="29" t="s">
        <v>2272</v>
      </c>
      <c r="J189" s="29" t="s">
        <v>2273</v>
      </c>
      <c r="K189" s="30" t="s">
        <v>71</v>
      </c>
      <c r="L189" s="29" t="s">
        <v>2274</v>
      </c>
      <c r="M189" s="30" t="s">
        <v>57</v>
      </c>
      <c r="N189" s="29" t="s">
        <v>46</v>
      </c>
      <c r="O189" s="31"/>
      <c r="P189" s="29"/>
      <c r="Q189" s="29" t="s">
        <v>48</v>
      </c>
      <c r="R189" s="30" t="s">
        <v>49</v>
      </c>
      <c r="S189" s="30" t="s">
        <v>130</v>
      </c>
      <c r="T189" s="29" t="s">
        <v>2275</v>
      </c>
      <c r="U189" s="29" t="s">
        <v>52</v>
      </c>
      <c r="V189" s="29" t="s">
        <v>57</v>
      </c>
      <c r="W189" s="29" t="s">
        <v>181</v>
      </c>
      <c r="X189" s="29" t="s">
        <v>2276</v>
      </c>
      <c r="Y189" s="30" t="s">
        <v>95</v>
      </c>
      <c r="Z189" s="30" t="s">
        <v>57</v>
      </c>
      <c r="AA189" s="29" t="s">
        <v>2277</v>
      </c>
      <c r="AB189" s="29"/>
      <c r="AC189" s="30" t="s">
        <v>60</v>
      </c>
      <c r="AD189" s="30" t="s">
        <v>2278</v>
      </c>
      <c r="AE189" s="30" t="s">
        <v>148</v>
      </c>
      <c r="AF189" s="30" t="s">
        <v>63</v>
      </c>
      <c r="AG189" s="29" t="s">
        <v>2279</v>
      </c>
    </row>
    <row r="190" customFormat="false" ht="102.2" hidden="false" customHeight="false" outlineLevel="0" collapsed="false">
      <c r="A190" s="29" t="s">
        <v>2280</v>
      </c>
      <c r="B190" s="29" t="s">
        <v>2281</v>
      </c>
      <c r="C190" s="30" t="s">
        <v>2164</v>
      </c>
      <c r="D190" s="30" t="s">
        <v>36</v>
      </c>
      <c r="E190" s="29" t="s">
        <v>37</v>
      </c>
      <c r="F190" s="30" t="s">
        <v>104</v>
      </c>
      <c r="G190" s="29" t="s">
        <v>214</v>
      </c>
      <c r="H190" s="29" t="s">
        <v>86</v>
      </c>
      <c r="I190" s="29" t="s">
        <v>2282</v>
      </c>
      <c r="J190" s="29" t="s">
        <v>2283</v>
      </c>
      <c r="K190" s="30" t="s">
        <v>57</v>
      </c>
      <c r="L190" s="29" t="s">
        <v>57</v>
      </c>
      <c r="M190" s="30" t="s">
        <v>57</v>
      </c>
      <c r="N190" s="29" t="s">
        <v>46</v>
      </c>
      <c r="O190" s="31"/>
      <c r="P190" s="29"/>
      <c r="Q190" s="29" t="s">
        <v>48</v>
      </c>
      <c r="R190" s="30" t="s">
        <v>49</v>
      </c>
      <c r="S190" s="30" t="s">
        <v>130</v>
      </c>
      <c r="T190" s="29" t="s">
        <v>2284</v>
      </c>
      <c r="U190" s="29" t="s">
        <v>181</v>
      </c>
      <c r="V190" s="29" t="s">
        <v>57</v>
      </c>
      <c r="W190" s="29" t="s">
        <v>181</v>
      </c>
      <c r="X190" s="29" t="s">
        <v>2285</v>
      </c>
      <c r="Y190" s="30" t="s">
        <v>79</v>
      </c>
      <c r="Z190" s="30" t="s">
        <v>57</v>
      </c>
      <c r="AA190" s="29" t="s">
        <v>2286</v>
      </c>
      <c r="AB190" s="29"/>
      <c r="AC190" s="30" t="s">
        <v>60</v>
      </c>
      <c r="AD190" s="30" t="s">
        <v>2287</v>
      </c>
      <c r="AE190" s="30" t="s">
        <v>62</v>
      </c>
      <c r="AF190" s="30" t="s">
        <v>63</v>
      </c>
      <c r="AG190" s="29" t="s">
        <v>2288</v>
      </c>
    </row>
    <row r="191" customFormat="false" ht="113.4" hidden="false" customHeight="false" outlineLevel="0" collapsed="false">
      <c r="A191" s="29" t="s">
        <v>2289</v>
      </c>
      <c r="B191" s="29" t="s">
        <v>2290</v>
      </c>
      <c r="C191" s="30" t="s">
        <v>2164</v>
      </c>
      <c r="D191" s="30" t="s">
        <v>36</v>
      </c>
      <c r="E191" s="29" t="s">
        <v>137</v>
      </c>
      <c r="F191" s="30" t="s">
        <v>121</v>
      </c>
      <c r="G191" s="29" t="s">
        <v>175</v>
      </c>
      <c r="H191" s="29" t="s">
        <v>997</v>
      </c>
      <c r="I191" s="29" t="s">
        <v>2291</v>
      </c>
      <c r="J191" s="29" t="s">
        <v>2292</v>
      </c>
      <c r="K191" s="30" t="s">
        <v>126</v>
      </c>
      <c r="L191" s="29" t="s">
        <v>2293</v>
      </c>
      <c r="M191" s="30" t="s">
        <v>252</v>
      </c>
      <c r="N191" s="29" t="s">
        <v>46</v>
      </c>
      <c r="O191" s="31"/>
      <c r="P191" s="29"/>
      <c r="Q191" s="29" t="s">
        <v>48</v>
      </c>
      <c r="R191" s="30" t="s">
        <v>49</v>
      </c>
      <c r="S191" s="30" t="s">
        <v>50</v>
      </c>
      <c r="T191" s="29" t="s">
        <v>2294</v>
      </c>
      <c r="U191" s="29" t="s">
        <v>52</v>
      </c>
      <c r="V191" s="29" t="s">
        <v>2295</v>
      </c>
      <c r="W191" s="29" t="s">
        <v>181</v>
      </c>
      <c r="X191" s="29" t="s">
        <v>2296</v>
      </c>
      <c r="Y191" s="30" t="s">
        <v>79</v>
      </c>
      <c r="Z191" s="30" t="s">
        <v>57</v>
      </c>
      <c r="AA191" s="29" t="s">
        <v>2297</v>
      </c>
      <c r="AB191" s="29"/>
      <c r="AC191" s="30" t="s">
        <v>60</v>
      </c>
      <c r="AD191" s="30" t="s">
        <v>2298</v>
      </c>
      <c r="AE191" s="30" t="s">
        <v>148</v>
      </c>
      <c r="AF191" s="30" t="s">
        <v>63</v>
      </c>
      <c r="AG191" s="29" t="s">
        <v>2299</v>
      </c>
    </row>
  </sheetData>
  <autoFilter ref="A1:AG1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6"/>
    <col collapsed="false" customWidth="true" hidden="false" outlineLevel="0" max="3" min="3" style="0" width="70"/>
  </cols>
  <sheetData>
    <row r="1" customFormat="false" ht="24" hidden="false" customHeight="true" outlineLevel="0" collapsed="false">
      <c r="A1" s="32" t="s">
        <v>2300</v>
      </c>
      <c r="B1" s="32" t="s">
        <v>2301</v>
      </c>
      <c r="C1" s="32" t="s">
        <v>2302</v>
      </c>
    </row>
    <row r="2" customFormat="false" ht="15" hidden="false" customHeight="false" outlineLevel="0" collapsed="false">
      <c r="A2" s="33" t="s">
        <v>0</v>
      </c>
      <c r="B2" s="34" t="s">
        <v>2303</v>
      </c>
      <c r="C2" s="34" t="s">
        <v>2304</v>
      </c>
    </row>
    <row r="3" customFormat="false" ht="15" hidden="false" customHeight="false" outlineLevel="0" collapsed="false">
      <c r="A3" s="33" t="s">
        <v>1</v>
      </c>
      <c r="B3" s="34" t="s">
        <v>2305</v>
      </c>
      <c r="C3" s="34" t="s">
        <v>2304</v>
      </c>
    </row>
    <row r="4" customFormat="false" ht="35.05" hidden="false" customHeight="false" outlineLevel="0" collapsed="false">
      <c r="A4" s="33" t="s">
        <v>2</v>
      </c>
      <c r="B4" s="34" t="s">
        <v>2306</v>
      </c>
      <c r="C4" s="34" t="s">
        <v>2307</v>
      </c>
    </row>
    <row r="5" customFormat="false" ht="15" hidden="false" customHeight="false" outlineLevel="0" collapsed="false">
      <c r="A5" s="33" t="s">
        <v>3</v>
      </c>
      <c r="B5" s="34" t="s">
        <v>2308</v>
      </c>
      <c r="C5" s="34" t="s">
        <v>36</v>
      </c>
    </row>
    <row r="6" customFormat="false" ht="23.85" hidden="false" customHeight="false" outlineLevel="0" collapsed="false">
      <c r="A6" s="33" t="s">
        <v>4</v>
      </c>
      <c r="B6" s="34" t="s">
        <v>2309</v>
      </c>
      <c r="C6" s="34" t="s">
        <v>2310</v>
      </c>
    </row>
    <row r="7" customFormat="false" ht="35.05" hidden="false" customHeight="false" outlineLevel="0" collapsed="false">
      <c r="A7" s="33" t="s">
        <v>5</v>
      </c>
      <c r="B7" s="34" t="s">
        <v>2311</v>
      </c>
      <c r="C7" s="34" t="s">
        <v>2312</v>
      </c>
    </row>
    <row r="8" customFormat="false" ht="23.85" hidden="false" customHeight="false" outlineLevel="0" collapsed="false">
      <c r="A8" s="33" t="s">
        <v>6</v>
      </c>
      <c r="B8" s="34" t="s">
        <v>2313</v>
      </c>
      <c r="C8" s="34" t="s">
        <v>2314</v>
      </c>
    </row>
    <row r="9" customFormat="false" ht="23.85" hidden="false" customHeight="false" outlineLevel="0" collapsed="false">
      <c r="A9" s="33" t="s">
        <v>7</v>
      </c>
      <c r="B9" s="34" t="s">
        <v>2315</v>
      </c>
      <c r="C9" s="34" t="s">
        <v>2316</v>
      </c>
    </row>
    <row r="10" customFormat="false" ht="15" hidden="false" customHeight="false" outlineLevel="0" collapsed="false">
      <c r="A10" s="33" t="s">
        <v>8</v>
      </c>
      <c r="B10" s="34" t="s">
        <v>2317</v>
      </c>
      <c r="C10" s="34" t="s">
        <v>2304</v>
      </c>
    </row>
    <row r="11" customFormat="false" ht="15" hidden="false" customHeight="false" outlineLevel="0" collapsed="false">
      <c r="A11" s="33" t="s">
        <v>9</v>
      </c>
      <c r="B11" s="34" t="s">
        <v>2318</v>
      </c>
      <c r="C11" s="34" t="s">
        <v>2319</v>
      </c>
    </row>
    <row r="12" customFormat="false" ht="35.05" hidden="false" customHeight="false" outlineLevel="0" collapsed="false">
      <c r="A12" s="33" t="s">
        <v>10</v>
      </c>
      <c r="B12" s="34" t="s">
        <v>2320</v>
      </c>
      <c r="C12" s="34" t="s">
        <v>2321</v>
      </c>
    </row>
    <row r="13" customFormat="false" ht="15" hidden="false" customHeight="false" outlineLevel="0" collapsed="false">
      <c r="A13" s="33" t="s">
        <v>11</v>
      </c>
      <c r="B13" s="34" t="s">
        <v>2322</v>
      </c>
      <c r="C13" s="34" t="s">
        <v>2304</v>
      </c>
    </row>
    <row r="14" customFormat="false" ht="15" hidden="false" customHeight="false" outlineLevel="0" collapsed="false">
      <c r="A14" s="33" t="s">
        <v>12</v>
      </c>
      <c r="B14" s="34" t="s">
        <v>2323</v>
      </c>
      <c r="C14" s="34" t="s">
        <v>2304</v>
      </c>
    </row>
    <row r="15" customFormat="false" ht="23.85" hidden="false" customHeight="false" outlineLevel="0" collapsed="false">
      <c r="A15" s="33" t="s">
        <v>13</v>
      </c>
      <c r="B15" s="34" t="s">
        <v>2324</v>
      </c>
      <c r="C15" s="34" t="s">
        <v>2325</v>
      </c>
    </row>
    <row r="16" customFormat="false" ht="15" hidden="false" customHeight="false" outlineLevel="0" collapsed="false">
      <c r="A16" s="33" t="s">
        <v>14</v>
      </c>
      <c r="B16" s="34" t="s">
        <v>2326</v>
      </c>
      <c r="C16" s="34" t="s">
        <v>2327</v>
      </c>
    </row>
    <row r="17" customFormat="false" ht="15" hidden="false" customHeight="false" outlineLevel="0" collapsed="false">
      <c r="A17" s="33" t="s">
        <v>15</v>
      </c>
      <c r="B17" s="34" t="s">
        <v>2328</v>
      </c>
      <c r="C17" s="34" t="s">
        <v>2304</v>
      </c>
    </row>
    <row r="18" customFormat="false" ht="23.85" hidden="false" customHeight="false" outlineLevel="0" collapsed="false">
      <c r="A18" s="33" t="s">
        <v>16</v>
      </c>
      <c r="B18" s="34" t="s">
        <v>2329</v>
      </c>
      <c r="C18" s="34" t="s">
        <v>2330</v>
      </c>
    </row>
    <row r="19" customFormat="false" ht="15" hidden="false" customHeight="false" outlineLevel="0" collapsed="false">
      <c r="A19" s="33" t="s">
        <v>17</v>
      </c>
      <c r="B19" s="34" t="s">
        <v>2331</v>
      </c>
      <c r="C19" s="34" t="s">
        <v>2332</v>
      </c>
    </row>
    <row r="20" customFormat="false" ht="15" hidden="false" customHeight="false" outlineLevel="0" collapsed="false">
      <c r="A20" s="33" t="s">
        <v>18</v>
      </c>
      <c r="B20" s="34" t="s">
        <v>2333</v>
      </c>
      <c r="C20" s="34" t="s">
        <v>2334</v>
      </c>
    </row>
    <row r="21" customFormat="false" ht="15" hidden="false" customHeight="false" outlineLevel="0" collapsed="false">
      <c r="A21" s="33" t="s">
        <v>19</v>
      </c>
      <c r="B21" s="34" t="s">
        <v>2335</v>
      </c>
      <c r="C21" s="34" t="s">
        <v>2304</v>
      </c>
    </row>
    <row r="22" customFormat="false" ht="15" hidden="false" customHeight="false" outlineLevel="0" collapsed="false">
      <c r="A22" s="33" t="s">
        <v>20</v>
      </c>
      <c r="B22" s="34" t="s">
        <v>2336</v>
      </c>
      <c r="C22" s="34" t="s">
        <v>2337</v>
      </c>
    </row>
    <row r="23" customFormat="false" ht="15" hidden="false" customHeight="false" outlineLevel="0" collapsed="false">
      <c r="A23" s="33" t="s">
        <v>21</v>
      </c>
      <c r="B23" s="34" t="s">
        <v>2338</v>
      </c>
      <c r="C23" s="34" t="s">
        <v>2339</v>
      </c>
    </row>
    <row r="24" customFormat="false" ht="23.85" hidden="false" customHeight="false" outlineLevel="0" collapsed="false">
      <c r="A24" s="33" t="s">
        <v>22</v>
      </c>
      <c r="B24" s="34" t="s">
        <v>2340</v>
      </c>
      <c r="C24" s="34" t="s">
        <v>2341</v>
      </c>
    </row>
    <row r="25" customFormat="false" ht="15" hidden="false" customHeight="false" outlineLevel="0" collapsed="false">
      <c r="A25" s="33" t="s">
        <v>23</v>
      </c>
      <c r="B25" s="34" t="s">
        <v>2342</v>
      </c>
      <c r="C25" s="34" t="s">
        <v>2304</v>
      </c>
    </row>
    <row r="26" customFormat="false" ht="15" hidden="false" customHeight="false" outlineLevel="0" collapsed="false">
      <c r="A26" s="33" t="s">
        <v>24</v>
      </c>
      <c r="B26" s="34" t="s">
        <v>2343</v>
      </c>
      <c r="C26" s="34" t="s">
        <v>2344</v>
      </c>
    </row>
    <row r="27" customFormat="false" ht="15" hidden="false" customHeight="false" outlineLevel="0" collapsed="false">
      <c r="A27" s="33" t="s">
        <v>25</v>
      </c>
      <c r="B27" s="34" t="s">
        <v>2345</v>
      </c>
      <c r="C27" s="34" t="s">
        <v>2304</v>
      </c>
    </row>
    <row r="28" customFormat="false" ht="15" hidden="false" customHeight="false" outlineLevel="0" collapsed="false">
      <c r="A28" s="33" t="s">
        <v>26</v>
      </c>
      <c r="B28" s="34" t="s">
        <v>2346</v>
      </c>
      <c r="C28" s="34" t="s">
        <v>2304</v>
      </c>
    </row>
    <row r="29" customFormat="false" ht="23.85" hidden="false" customHeight="false" outlineLevel="0" collapsed="false">
      <c r="A29" s="33" t="s">
        <v>27</v>
      </c>
      <c r="B29" s="34" t="s">
        <v>2347</v>
      </c>
      <c r="C29" s="34" t="s">
        <v>2304</v>
      </c>
    </row>
    <row r="30" customFormat="false" ht="15" hidden="false" customHeight="false" outlineLevel="0" collapsed="false">
      <c r="A30" s="33" t="s">
        <v>28</v>
      </c>
      <c r="B30" s="34" t="s">
        <v>2348</v>
      </c>
      <c r="C30" s="34" t="s">
        <v>2349</v>
      </c>
    </row>
    <row r="31" customFormat="false" ht="15" hidden="false" customHeight="false" outlineLevel="0" collapsed="false">
      <c r="A31" s="33" t="s">
        <v>29</v>
      </c>
      <c r="B31" s="34" t="s">
        <v>2350</v>
      </c>
      <c r="C31" s="34" t="s">
        <v>2351</v>
      </c>
    </row>
    <row r="32" customFormat="false" ht="15" hidden="false" customHeight="false" outlineLevel="0" collapsed="false">
      <c r="A32" s="33" t="s">
        <v>30</v>
      </c>
      <c r="B32" s="34" t="s">
        <v>2352</v>
      </c>
      <c r="C32" s="34" t="s">
        <v>2353</v>
      </c>
    </row>
    <row r="33" customFormat="false" ht="15" hidden="false" customHeight="false" outlineLevel="0" collapsed="false">
      <c r="A33" s="33" t="s">
        <v>31</v>
      </c>
      <c r="B33" s="34" t="s">
        <v>2354</v>
      </c>
      <c r="C33" s="34" t="s">
        <v>2355</v>
      </c>
    </row>
    <row r="34" customFormat="false" ht="15" hidden="false" customHeight="false" outlineLevel="0" collapsed="false">
      <c r="A34" s="33" t="s">
        <v>32</v>
      </c>
      <c r="B34" s="34" t="s">
        <v>2356</v>
      </c>
      <c r="C34" s="34" t="s">
        <v>2304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0"/>
    <col collapsed="false" customWidth="true" hidden="false" outlineLevel="0" max="3" min="3" style="0" width="30"/>
  </cols>
  <sheetData>
    <row r="1" customFormat="false" ht="16.15" hidden="false" customHeight="false" outlineLevel="0" collapsed="false">
      <c r="A1" s="35" t="s">
        <v>2357</v>
      </c>
    </row>
    <row r="2" customFormat="false" ht="15" hidden="false" customHeight="false" outlineLevel="0" collapsed="false">
      <c r="A2" s="36" t="s">
        <v>2358</v>
      </c>
      <c r="B2" s="36" t="n">
        <f aca="false">COUNTA(Mechanisms!A2:A100000)</f>
        <v>190</v>
      </c>
    </row>
    <row r="3" customFormat="false" ht="15" hidden="false" customHeight="false" outlineLevel="0" collapsed="false">
      <c r="A3" s="36" t="s">
        <v>2359</v>
      </c>
      <c r="B3" s="36" t="s">
        <v>63</v>
      </c>
    </row>
    <row r="4" customFormat="false" ht="35.05" hidden="false" customHeight="false" outlineLevel="0" collapsed="false">
      <c r="A4" s="36" t="s">
        <v>2360</v>
      </c>
      <c r="B4" s="36" t="s">
        <v>2361</v>
      </c>
    </row>
    <row r="5" customFormat="false" ht="35.05" hidden="false" customHeight="false" outlineLevel="0" collapsed="false">
      <c r="A5" s="36" t="s">
        <v>2362</v>
      </c>
      <c r="B5" s="36" t="s">
        <v>2363</v>
      </c>
    </row>
    <row r="7" customFormat="false" ht="15" hidden="false" customHeight="false" outlineLevel="0" collapsed="false">
      <c r="A7" s="37" t="s">
        <v>2364</v>
      </c>
    </row>
    <row r="8" customFormat="false" ht="15" hidden="false" customHeight="false" outlineLevel="0" collapsed="false">
      <c r="A8" s="36" t="s">
        <v>35</v>
      </c>
      <c r="B8" s="36" t="n">
        <f aca="false">COUNTIF(Mechanisms!C:C,"federal_research")</f>
        <v>63</v>
      </c>
    </row>
    <row r="9" customFormat="false" ht="15" hidden="false" customHeight="false" outlineLevel="0" collapsed="false">
      <c r="A9" s="36" t="s">
        <v>792</v>
      </c>
      <c r="B9" s="36" t="n">
        <f aca="false">COUNTIF(Mechanisms!C:C,"defense_security")</f>
        <v>17</v>
      </c>
    </row>
    <row r="10" customFormat="false" ht="15" hidden="false" customHeight="false" outlineLevel="0" collapsed="false">
      <c r="A10" s="36" t="s">
        <v>996</v>
      </c>
      <c r="B10" s="36" t="n">
        <f aca="false">COUNTIF(Mechanisms!C:C,"mission_applied")</f>
        <v>11</v>
      </c>
    </row>
    <row r="11" customFormat="false" ht="15" hidden="false" customHeight="false" outlineLevel="0" collapsed="false">
      <c r="A11" s="36" t="s">
        <v>1140</v>
      </c>
      <c r="B11" s="36" t="n">
        <f aca="false">COUNTIF(Mechanisms!C:C,"professional_society")</f>
        <v>17</v>
      </c>
    </row>
    <row r="12" customFormat="false" ht="15" hidden="false" customHeight="false" outlineLevel="0" collapsed="false">
      <c r="A12" s="36" t="s">
        <v>1371</v>
      </c>
      <c r="B12" s="36" t="n">
        <f aca="false">COUNTIF(Mechanisms!C:C,"private_foundation")</f>
        <v>21</v>
      </c>
    </row>
    <row r="13" customFormat="false" ht="15" hidden="false" customHeight="false" outlineLevel="0" collapsed="false">
      <c r="A13" s="36" t="s">
        <v>1605</v>
      </c>
      <c r="B13" s="36" t="n">
        <f aca="false">COUNTIF(Mechanisms!C:C,"disease_advocacy")</f>
        <v>16</v>
      </c>
    </row>
    <row r="14" customFormat="false" ht="15" hidden="false" customHeight="false" outlineLevel="0" collapsed="false">
      <c r="A14" s="36" t="s">
        <v>1783</v>
      </c>
      <c r="B14" s="36" t="n">
        <f aca="false">COUNTIF(Mechanisms!C:C,"institutional")</f>
        <v>9</v>
      </c>
    </row>
    <row r="15" customFormat="false" ht="15" hidden="false" customHeight="false" outlineLevel="0" collapsed="false">
      <c r="A15" s="36" t="s">
        <v>1892</v>
      </c>
      <c r="B15" s="36" t="n">
        <f aca="false">COUNTIF(Mechanisms!C:C,"industry")</f>
        <v>11</v>
      </c>
    </row>
    <row r="16" customFormat="false" ht="15" hidden="false" customHeight="false" outlineLevel="0" collapsed="false">
      <c r="A16" s="36" t="s">
        <v>2027</v>
      </c>
      <c r="B16" s="36" t="n">
        <f aca="false">COUNTIF(Mechanisms!C:C,"international_mobility")</f>
        <v>12</v>
      </c>
    </row>
    <row r="17" customFormat="false" ht="15" hidden="false" customHeight="false" outlineLevel="0" collapsed="false">
      <c r="A17" s="36" t="s">
        <v>2164</v>
      </c>
      <c r="B17" s="36" t="n">
        <f aca="false">COUNTIF(Mechanisms!C:C,"state_regional")</f>
        <v>13</v>
      </c>
    </row>
    <row r="19" customFormat="false" ht="15" hidden="false" customHeight="false" outlineLevel="0" collapsed="false">
      <c r="A19" s="37" t="s">
        <v>2365</v>
      </c>
    </row>
    <row r="20" customFormat="false" ht="15" hidden="false" customHeight="false" outlineLevel="0" collapsed="false">
      <c r="A20" s="36" t="s">
        <v>148</v>
      </c>
      <c r="B20" s="36" t="n">
        <f aca="false">COUNTIF(Mechanisms!AE:AE,"high")</f>
        <v>132</v>
      </c>
    </row>
    <row r="21" customFormat="false" ht="15" hidden="false" customHeight="false" outlineLevel="0" collapsed="false">
      <c r="A21" s="36" t="s">
        <v>62</v>
      </c>
      <c r="B21" s="36" t="n">
        <f aca="false">COUNTIF(Mechanisms!AE:AE,"medium")</f>
        <v>54</v>
      </c>
    </row>
    <row r="22" customFormat="false" ht="15" hidden="false" customHeight="false" outlineLevel="0" collapsed="false">
      <c r="A22" s="36" t="s">
        <v>674</v>
      </c>
      <c r="B22" s="36" t="n">
        <f aca="false">COUNTIF(Mechanisms!AE:AE,"low")</f>
        <v>4</v>
      </c>
    </row>
    <row r="24" customFormat="false" ht="15" hidden="false" customHeight="false" outlineLevel="0" collapsed="false">
      <c r="A24" s="37" t="s">
        <v>2366</v>
      </c>
    </row>
    <row r="25" customFormat="false" ht="15" hidden="false" customHeight="false" outlineLevel="0" collapsed="false">
      <c r="A25" s="36" t="s">
        <v>2367</v>
      </c>
      <c r="B25" s="36" t="n">
        <f aca="false">COUNTIFS(Mechanisms!C:C,"institutional",Mechanisms!AC:AC,"guidance")</f>
        <v>9</v>
      </c>
    </row>
    <row r="26" customFormat="false" ht="15" hidden="false" customHeight="false" outlineLevel="0" collapsed="false">
      <c r="A26" s="36" t="s">
        <v>2368</v>
      </c>
      <c r="B26" s="36" t="n">
        <f aca="false">COUNTIFS(Mechanisms!C:C,"industry",Mechanisms!AC:AC,"guidance")</f>
        <v>3</v>
      </c>
    </row>
    <row r="28" customFormat="false" ht="15" hidden="false" customHeight="false" outlineLevel="0" collapsed="false">
      <c r="A28" s="37" t="s">
        <v>2369</v>
      </c>
    </row>
    <row r="29" customFormat="false" ht="15" hidden="false" customHeight="false" outlineLevel="0" collapsed="false">
      <c r="A29" s="38" t="s">
        <v>2370</v>
      </c>
      <c r="B29" s="38" t="s">
        <v>2371</v>
      </c>
      <c r="C29" s="38" t="s">
        <v>2372</v>
      </c>
    </row>
    <row r="30" customFormat="false" ht="15" hidden="false" customHeight="false" outlineLevel="0" collapsed="false">
      <c r="A30" s="36" t="s">
        <v>188</v>
      </c>
      <c r="B30" s="36" t="n">
        <f aca="false">COUNTIF(Mechanisms!E:E,"*undergraduate*")</f>
        <v>10</v>
      </c>
      <c r="C30" s="39" t="n">
        <v>4</v>
      </c>
    </row>
    <row r="31" customFormat="false" ht="15" hidden="false" customHeight="false" outlineLevel="0" collapsed="false">
      <c r="A31" s="36" t="s">
        <v>120</v>
      </c>
      <c r="B31" s="36" t="n">
        <f aca="false">COUNTIF(Mechanisms!E:E,"*graduate_predoc*")</f>
        <v>34</v>
      </c>
      <c r="C31" s="39" t="n">
        <v>9</v>
      </c>
    </row>
    <row r="32" customFormat="false" ht="15" hidden="false" customHeight="false" outlineLevel="0" collapsed="false">
      <c r="A32" s="36" t="s">
        <v>137</v>
      </c>
      <c r="B32" s="36" t="n">
        <f aca="false">COUNTIF(Mechanisms!E:E,"*postdoc*")</f>
        <v>52</v>
      </c>
      <c r="C32" s="39" t="n">
        <v>9</v>
      </c>
    </row>
    <row r="33" customFormat="false" ht="15" hidden="false" customHeight="false" outlineLevel="0" collapsed="false">
      <c r="A33" s="36" t="s">
        <v>103</v>
      </c>
      <c r="B33" s="36" t="n">
        <f aca="false">COUNTIF(Mechanisms!E:E,"*early_career_faculty*")</f>
        <v>60</v>
      </c>
      <c r="C33" s="39" t="n">
        <v>10</v>
      </c>
    </row>
    <row r="34" customFormat="false" ht="15" hidden="false" customHeight="false" outlineLevel="0" collapsed="false">
      <c r="A34" s="36" t="s">
        <v>1219</v>
      </c>
      <c r="B34" s="36" t="n">
        <f aca="false">COUNTIF(Mechanisms!E:E,"*midcareer*")</f>
        <v>22</v>
      </c>
      <c r="C34" s="39" t="n">
        <v>9</v>
      </c>
    </row>
    <row r="35" customFormat="false" ht="15" hidden="false" customHeight="false" outlineLevel="0" collapsed="false">
      <c r="A35" s="36" t="s">
        <v>2373</v>
      </c>
      <c r="B35" s="36" t="n">
        <f aca="false">COUNTIF(Mechanisms!E:E,"*senior_established*")</f>
        <v>19</v>
      </c>
      <c r="C35" s="39" t="n">
        <v>10</v>
      </c>
    </row>
    <row r="36" customFormat="false" ht="15" hidden="false" customHeight="false" outlineLevel="0" collapsed="false">
      <c r="A36" s="36" t="s">
        <v>37</v>
      </c>
      <c r="B36" s="36" t="n">
        <f aca="false">COUNTIF(Mechanisms!E:E,"*no_stage_restriction*")</f>
        <v>51</v>
      </c>
      <c r="C36" s="39" t="n">
        <v>8</v>
      </c>
    </row>
    <row r="37" customFormat="false" ht="15" hidden="false" customHeight="false" outlineLevel="0" collapsed="false">
      <c r="A37" s="36" t="s">
        <v>2374</v>
      </c>
      <c r="B37" s="36" t="n">
        <f aca="false">COUNTIF(Mechanisms!E:E,"*transition*")</f>
        <v>14</v>
      </c>
      <c r="C37" s="39" t="n">
        <v>7</v>
      </c>
    </row>
    <row r="38" customFormat="false" ht="15" hidden="false" customHeight="false" outlineLevel="0" collapsed="false">
      <c r="A38" s="36" t="s">
        <v>2375</v>
      </c>
      <c r="B38" s="36" t="n">
        <f aca="false">COUNTIF(Mechanisms!E:E,"*physician_scientist*")</f>
        <v>18</v>
      </c>
      <c r="C38" s="39" t="n">
        <v>7</v>
      </c>
    </row>
    <row r="39" customFormat="false" ht="15" hidden="false" customHeight="false" outlineLevel="0" collapsed="false">
      <c r="A39" s="36" t="s">
        <v>2376</v>
      </c>
      <c r="B39" s="36" t="n">
        <f aca="false">COUNTIF(Mechanisms!E:E,"*reentry*")</f>
        <v>5</v>
      </c>
      <c r="C39" s="39" t="n">
        <v>4</v>
      </c>
    </row>
    <row r="41" customFormat="false" ht="15" hidden="false" customHeight="false" outlineLevel="0" collapsed="false">
      <c r="A41" s="37" t="s">
        <v>2377</v>
      </c>
    </row>
    <row r="42" customFormat="false" ht="15" hidden="false" customHeight="false" outlineLevel="0" collapsed="false">
      <c r="A42" s="36" t="s">
        <v>2378</v>
      </c>
      <c r="B42" s="36" t="s">
        <v>2379</v>
      </c>
    </row>
    <row r="43" customFormat="false" ht="15" hidden="false" customHeight="false" outlineLevel="0" collapsed="false">
      <c r="A43" s="36" t="s">
        <v>2380</v>
      </c>
      <c r="B43" s="36" t="s">
        <v>2379</v>
      </c>
    </row>
    <row r="44" customFormat="false" ht="15" hidden="false" customHeight="false" outlineLevel="0" collapsed="false">
      <c r="A44" s="36" t="s">
        <v>2381</v>
      </c>
      <c r="B44" s="36" t="s">
        <v>2379</v>
      </c>
    </row>
    <row r="45" customFormat="false" ht="15" hidden="false" customHeight="false" outlineLevel="0" collapsed="false">
      <c r="A45" s="36" t="s">
        <v>2382</v>
      </c>
      <c r="B45" s="36" t="s">
        <v>2379</v>
      </c>
    </row>
    <row r="46" customFormat="false" ht="15" hidden="false" customHeight="false" outlineLevel="0" collapsed="false">
      <c r="A46" s="36" t="s">
        <v>2383</v>
      </c>
      <c r="B46" s="36" t="n">
        <f aca="false">COUNTIF(Mechanisms!R:R,"restricted_to")</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2026-07-29T06:36:20Z</dcterms:created>
  <dc:creator>openpyxl</dc:creator>
  <dc:description/>
  <dc:language>en-US</dc:language>
  <cp:lastModifiedBy/>
  <dcterms:modified xsi:type="dcterms:W3CDTF">2026-07-29T06:36:21Z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